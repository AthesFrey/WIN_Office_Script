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 (x86)\WBS-Gantt-ProgressChart-v5.1\"/>
    </mc:Choice>
  </mc:AlternateContent>
  <xr:revisionPtr revIDLastSave="0" documentId="13_ncr:1_{07D37923-5D8E-4981-991D-A40ACF87F01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WBS" sheetId="1" r:id="rId1"/>
    <sheet name="Milestones" sheetId="4" r:id="rId2"/>
  </sheets>
  <functionGroups builtInGroupCount="19"/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9" i="4" l="1"/>
  <c r="I19" i="4"/>
  <c r="H19" i="4"/>
  <c r="G19" i="4"/>
  <c r="E19" i="4"/>
  <c r="D19" i="4"/>
  <c r="C19" i="4"/>
  <c r="J18" i="4"/>
  <c r="I18" i="4"/>
  <c r="H18" i="4"/>
  <c r="G18" i="4"/>
  <c r="E18" i="4"/>
  <c r="D18" i="4"/>
  <c r="C18" i="4"/>
  <c r="J17" i="4"/>
  <c r="I17" i="4"/>
  <c r="H17" i="4"/>
  <c r="G17" i="4"/>
  <c r="E17" i="4"/>
  <c r="D17" i="4"/>
  <c r="C17" i="4"/>
  <c r="J16" i="4"/>
  <c r="I16" i="4"/>
  <c r="H16" i="4"/>
  <c r="G16" i="4"/>
  <c r="E16" i="4"/>
  <c r="D16" i="4"/>
  <c r="C16" i="4"/>
  <c r="J15" i="4"/>
  <c r="I15" i="4"/>
  <c r="H15" i="4"/>
  <c r="G15" i="4"/>
  <c r="E15" i="4"/>
  <c r="D15" i="4"/>
  <c r="C15" i="4"/>
  <c r="J14" i="4"/>
  <c r="I14" i="4"/>
  <c r="H14" i="4"/>
  <c r="G14" i="4"/>
  <c r="E14" i="4"/>
  <c r="D14" i="4"/>
  <c r="C14" i="4"/>
  <c r="O19" i="1"/>
  <c r="O18" i="1"/>
  <c r="O17" i="1"/>
  <c r="O16" i="1"/>
  <c r="O14" i="1"/>
  <c r="O13" i="1"/>
  <c r="O11" i="1"/>
  <c r="O10" i="1"/>
  <c r="O9" i="1"/>
</calcChain>
</file>

<file path=xl/sharedStrings.xml><?xml version="1.0" encoding="utf-8"?>
<sst xmlns="http://schemas.openxmlformats.org/spreadsheetml/2006/main" count="137" uniqueCount="76">
  <si>
    <t>No</t>
    <phoneticPr fontId="1" type="noConversion"/>
  </si>
  <si>
    <t>Task</t>
    <phoneticPr fontId="1" type="noConversion"/>
  </si>
  <si>
    <t>Resource</t>
    <phoneticPr fontId="1" type="noConversion"/>
  </si>
  <si>
    <t>Allocation %</t>
    <phoneticPr fontId="1" type="noConversion"/>
  </si>
  <si>
    <t>Deliverable unit</t>
    <phoneticPr fontId="1" type="noConversion"/>
  </si>
  <si>
    <t>Deliverable qty</t>
    <phoneticPr fontId="1" type="noConversion"/>
  </si>
  <si>
    <t>Completed qty</t>
    <phoneticPr fontId="1" type="noConversion"/>
  </si>
  <si>
    <t>Progress</t>
    <phoneticPr fontId="1" type="noConversion"/>
  </si>
  <si>
    <t>Predecessor</t>
    <phoneticPr fontId="1" type="noConversion"/>
  </si>
  <si>
    <t>Planned start</t>
    <phoneticPr fontId="1" type="noConversion"/>
  </si>
  <si>
    <t>Planned end</t>
    <phoneticPr fontId="1" type="noConversion"/>
  </si>
  <si>
    <t>Actual start</t>
    <phoneticPr fontId="1" type="noConversion"/>
  </si>
  <si>
    <t>Actual end</t>
    <phoneticPr fontId="1" type="noConversion"/>
  </si>
  <si>
    <t>Baseline start</t>
    <phoneticPr fontId="1" type="noConversion"/>
  </si>
  <si>
    <t>Baseline end</t>
    <phoneticPr fontId="1" type="noConversion"/>
  </si>
  <si>
    <t>Days</t>
    <phoneticPr fontId="1" type="noConversion"/>
  </si>
  <si>
    <t>1 Platform overview</t>
    <phoneticPr fontId="1" type="noConversion"/>
  </si>
  <si>
    <t xml:space="preserve">    1.1 New features</t>
    <phoneticPr fontId="1" type="noConversion"/>
  </si>
  <si>
    <t xml:space="preserve">        1.1.1 Background</t>
    <phoneticPr fontId="1" type="noConversion"/>
  </si>
  <si>
    <t xml:space="preserve">        1.1.2 Characteristics</t>
    <phoneticPr fontId="1" type="noConversion"/>
  </si>
  <si>
    <t xml:space="preserve">        1.1.3 Intuitive interface</t>
    <phoneticPr fontId="1" type="noConversion"/>
  </si>
  <si>
    <t xml:space="preserve">    1.2 Benefits of application development</t>
    <phoneticPr fontId="1" type="noConversion"/>
  </si>
  <si>
    <t xml:space="preserve">    1.3 Application structure</t>
    <phoneticPr fontId="1" type="noConversion"/>
  </si>
  <si>
    <t xml:space="preserve">        1.3.1 Program components</t>
    <phoneticPr fontId="1" type="noConversion"/>
  </si>
  <si>
    <t xml:space="preserve">        1.3.2 Object-oriented programming</t>
    <phoneticPr fontId="1" type="noConversion"/>
  </si>
  <si>
    <t xml:space="preserve">    1.4 Application development process</t>
    <phoneticPr fontId="1" type="noConversion"/>
  </si>
  <si>
    <t xml:space="preserve">        1.4.1 Preparation</t>
    <phoneticPr fontId="1" type="noConversion"/>
  </si>
  <si>
    <t xml:space="preserve">        1.4.2 Development</t>
    <phoneticPr fontId="1" type="noConversion"/>
  </si>
  <si>
    <t xml:space="preserve">        1.4.3 Testing</t>
    <phoneticPr fontId="1" type="noConversion"/>
  </si>
  <si>
    <t xml:space="preserve">        1.4.4 Release to users</t>
    <phoneticPr fontId="1" type="noConversion"/>
  </si>
  <si>
    <t>Task type</t>
    <phoneticPr fontId="1" type="noConversion"/>
  </si>
  <si>
    <t>Level</t>
    <phoneticPr fontId="1" type="noConversion"/>
  </si>
  <si>
    <t>Pages</t>
  </si>
  <si>
    <t>Rows</t>
  </si>
  <si>
    <t>Items</t>
  </si>
  <si>
    <t>Pages</t>
    <phoneticPr fontId="1" type="noConversion"/>
  </si>
  <si>
    <t>EV</t>
    <phoneticPr fontId="1" type="noConversion"/>
  </si>
  <si>
    <t>PV</t>
    <phoneticPr fontId="1" type="noConversion"/>
  </si>
  <si>
    <t>AC</t>
    <phoneticPr fontId="1" type="noConversion"/>
  </si>
  <si>
    <t>SPI</t>
    <phoneticPr fontId="1" type="noConversion"/>
  </si>
  <si>
    <t>CPI</t>
    <phoneticPr fontId="1" type="noConversion"/>
  </si>
  <si>
    <t>SV</t>
    <phoneticPr fontId="1" type="noConversion"/>
  </si>
  <si>
    <t>A</t>
  </si>
  <si>
    <t>B</t>
  </si>
  <si>
    <t>C</t>
  </si>
  <si>
    <t>WBS Gantt Planner v5.1</t>
  </si>
  <si>
    <t>Level</t>
  </si>
  <si>
    <t>Select tasks, then choose Level or use Promote / Demote.</t>
  </si>
  <si>
    <t>Wed</t>
  </si>
  <si>
    <t>Thu</t>
  </si>
  <si>
    <t>Fri</t>
  </si>
  <si>
    <t>Sat</t>
  </si>
  <si>
    <t>Sun</t>
  </si>
  <si>
    <t>Mon</t>
  </si>
  <si>
    <t>Tue</t>
  </si>
  <si>
    <t>P</t>
  </si>
  <si>
    <t>T</t>
  </si>
  <si>
    <t>Milestones</t>
  </si>
  <si>
    <t>Enter milestones or import WBS tasks, then Generate.</t>
  </si>
  <si>
    <t>Position</t>
  </si>
  <si>
    <t>Equal spacing</t>
  </si>
  <si>
    <t>Spacing</t>
  </si>
  <si>
    <t>Show = Yes to include. Clear samples before import.</t>
  </si>
  <si>
    <t>Dates: yyyy/m/d, yyyymmdd, or mmdd (year from row above).</t>
  </si>
  <si>
    <t>Show</t>
  </si>
  <si>
    <t>WBS row</t>
  </si>
  <si>
    <t>Milestone name</t>
  </si>
  <si>
    <t>Milestone date</t>
  </si>
  <si>
    <t>Notes / source</t>
  </si>
  <si>
    <t>Owner</t>
  </si>
  <si>
    <t>Progress</t>
  </si>
  <si>
    <t>Status</t>
  </si>
  <si>
    <t>Type</t>
  </si>
  <si>
    <t>Yes</t>
  </si>
  <si>
    <t>Linked to WBS</t>
  </si>
  <si>
    <t>Generated 6 milestones; 2018/8/6 - 2018/9/3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</si>
</sst>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81" formatCode="m/d"/>
    <numFmt numFmtId="182" formatCode="yyyy/m/d"/>
  </numFmts>
  <fonts count="1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172033"/>
      <name val="Microsoft YaHei"/>
      <family val="2"/>
      <charset val="134"/>
    </font>
    <font>
      <b/>
      <sz val="20"/>
      <color rgb="FF172033"/>
      <name val="Microsoft YaHei"/>
      <family val="2"/>
      <charset val="134"/>
    </font>
    <font>
      <sz val="10"/>
      <color rgb="FF64748B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10"/>
      <color rgb="FF0F766E"/>
      <name val="Microsoft YaHei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172033"/>
      <name val="微软雅黑"/>
      <family val="2"/>
      <charset val="134"/>
    </font>
    <font>
      <b/>
      <sz val="11"/>
      <color rgb="FF172033"/>
      <name val="微软雅黑"/>
      <family val="2"/>
      <charset val="134"/>
    </font>
  </fonts>
  <fills count="2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A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C6DCF6"/>
        <bgColor indexed="64"/>
      </patternFill>
    </fill>
    <fill>
      <patternFill patternType="solid">
        <fgColor rgb="FFC6DCF6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C6DCF6"/>
        <bgColor indexed="64"/>
      </patternFill>
    </fill>
    <fill>
      <patternFill patternType="solid">
        <fgColor rgb="FFC6DCF6"/>
        <bgColor indexed="64"/>
      </patternFill>
    </fill>
    <fill>
      <patternFill patternType="solid">
        <fgColor rgb="FF62C384"/>
        <bgColor indexed="64"/>
      </patternFill>
    </fill>
    <fill>
      <patternFill patternType="solid">
        <fgColor rgb="FFC6DCF6"/>
        <bgColor indexed="64"/>
      </patternFill>
    </fill>
  </fills>
  <borders count="3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7" fillId="0" borderId="0" xfId="0" applyNumberFormat="1" applyFont="1" applyFill="1" applyAlignment="1">
      <alignment horizontal="left" vertical="center" wrapText="1"/>
    </xf>
    <xf numFmtId="0" fontId="8" fillId="4" borderId="0" xfId="0" applyNumberFormat="1" applyFont="1" applyFill="1" applyAlignment="1">
      <alignment horizontal="center" vertical="center" wrapText="1"/>
    </xf>
    <xf numFmtId="0" fontId="5" fillId="5" borderId="0" xfId="0" applyNumberFormat="1" applyFont="1" applyFill="1" applyAlignment="1">
      <alignment horizontal="left" vertical="center" wrapText="1"/>
    </xf>
    <xf numFmtId="0" fontId="5" fillId="6" borderId="0" xfId="0" applyNumberFormat="1" applyFont="1" applyFill="1" applyAlignment="1">
      <alignment horizontal="center" vertical="center"/>
    </xf>
    <xf numFmtId="9" fontId="5" fillId="7" borderId="0" xfId="0" applyNumberFormat="1" applyFont="1" applyFill="1" applyAlignment="1">
      <alignment horizontal="center" vertical="center"/>
    </xf>
    <xf numFmtId="14" fontId="5" fillId="8" borderId="0" xfId="0" applyNumberFormat="1" applyFont="1" applyFill="1" applyAlignment="1">
      <alignment horizontal="left" vertical="center"/>
    </xf>
    <xf numFmtId="0" fontId="9" fillId="9" borderId="0" xfId="0" applyNumberFormat="1" applyFont="1" applyFill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81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81" fontId="3" fillId="10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6" fillId="0" borderId="0" xfId="0" applyNumberFormat="1" applyFont="1" applyFill="1" applyAlignment="1">
      <alignment horizontal="left" vertical="center"/>
    </xf>
    <xf numFmtId="0" fontId="7" fillId="0" borderId="0" xfId="0" applyNumberFormat="1" applyFont="1" applyFill="1" applyAlignment="1">
      <alignment horizontal="left" vertical="center" wrapText="1"/>
    </xf>
    <xf numFmtId="0" fontId="9" fillId="9" borderId="0" xfId="0" applyNumberFormat="1" applyFont="1" applyFill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10" fillId="0" borderId="1" xfId="0" applyNumberFormat="1" applyFont="1" applyBorder="1">
      <alignment vertical="center"/>
    </xf>
    <xf numFmtId="9" fontId="11" fillId="0" borderId="1" xfId="0" applyNumberFormat="1" applyFont="1" applyBorder="1" applyAlignment="1">
      <alignment horizontal="center" vertical="center"/>
    </xf>
    <xf numFmtId="14" fontId="10" fillId="0" borderId="1" xfId="0" applyNumberFormat="1" applyFont="1" applyBorder="1" applyAlignment="1">
      <alignment horizontal="center" vertical="center"/>
    </xf>
    <xf numFmtId="14" fontId="10" fillId="0" borderId="1" xfId="0" applyNumberFormat="1" applyFont="1" applyBorder="1">
      <alignment vertical="center"/>
    </xf>
    <xf numFmtId="176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14" fontId="10" fillId="0" borderId="2" xfId="0" applyNumberFormat="1" applyFont="1" applyBorder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9" fontId="10" fillId="11" borderId="1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9" fontId="10" fillId="0" borderId="1" xfId="0" applyNumberFormat="1" applyFont="1" applyBorder="1">
      <alignment vertical="center"/>
    </xf>
    <xf numFmtId="9" fontId="10" fillId="12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9" fontId="13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14" fontId="12" fillId="0" borderId="1" xfId="0" applyNumberFormat="1" applyFont="1" applyBorder="1">
      <alignment vertical="center"/>
    </xf>
    <xf numFmtId="176" fontId="12" fillId="0" borderId="1" xfId="0" applyNumberFormat="1" applyFont="1" applyBorder="1" applyAlignment="1">
      <alignment horizontal="center" vertical="center"/>
    </xf>
    <xf numFmtId="9" fontId="12" fillId="0" borderId="1" xfId="0" applyNumberFormat="1" applyFont="1" applyBorder="1" applyAlignment="1">
      <alignment horizontal="center" vertical="center"/>
    </xf>
    <xf numFmtId="14" fontId="12" fillId="0" borderId="2" xfId="0" applyNumberFormat="1" applyFont="1" applyBorder="1">
      <alignment vertical="center"/>
    </xf>
    <xf numFmtId="0" fontId="12" fillId="3" borderId="1" xfId="0" applyFont="1" applyFill="1" applyBorder="1" applyAlignment="1">
      <alignment horizontal="center" vertical="center"/>
    </xf>
    <xf numFmtId="9" fontId="12" fillId="13" borderId="1" xfId="0" applyNumberFormat="1" applyFont="1" applyFill="1" applyBorder="1" applyAlignment="1">
      <alignment horizontal="center" vertical="center"/>
    </xf>
    <xf numFmtId="9" fontId="12" fillId="14" borderId="1" xfId="0" applyNumberFormat="1" applyFont="1" applyFill="1" applyBorder="1" applyAlignment="1">
      <alignment horizontal="center" vertical="center"/>
    </xf>
    <xf numFmtId="9" fontId="12" fillId="15" borderId="1" xfId="0" applyNumberFormat="1" applyFont="1" applyFill="1" applyBorder="1" applyAlignment="1">
      <alignment horizontal="center" vertical="center"/>
    </xf>
    <xf numFmtId="9" fontId="12" fillId="16" borderId="1" xfId="0" applyNumberFormat="1" applyFont="1" applyFill="1" applyBorder="1" applyAlignment="1">
      <alignment horizontal="center" vertical="center"/>
    </xf>
    <xf numFmtId="9" fontId="10" fillId="17" borderId="1" xfId="0" applyNumberFormat="1" applyFont="1" applyFill="1" applyBorder="1" applyAlignment="1">
      <alignment horizontal="center" vertical="center"/>
    </xf>
    <xf numFmtId="9" fontId="12" fillId="18" borderId="1" xfId="0" applyNumberFormat="1" applyFont="1" applyFill="1" applyBorder="1" applyAlignment="1">
      <alignment horizontal="center" vertical="center"/>
    </xf>
    <xf numFmtId="9" fontId="12" fillId="19" borderId="1" xfId="0" applyNumberFormat="1" applyFont="1" applyFill="1" applyBorder="1" applyAlignment="1">
      <alignment horizontal="center" vertical="center"/>
    </xf>
    <xf numFmtId="9" fontId="10" fillId="20" borderId="1" xfId="0" applyNumberFormat="1" applyFont="1" applyFill="1" applyBorder="1" applyAlignment="1">
      <alignment horizontal="center" vertical="center"/>
    </xf>
    <xf numFmtId="9" fontId="12" fillId="21" borderId="1" xfId="0" applyNumberFormat="1" applyFont="1" applyFill="1" applyBorder="1" applyAlignment="1">
      <alignment horizontal="center" vertical="center"/>
    </xf>
    <xf numFmtId="9" fontId="12" fillId="22" borderId="1" xfId="0" applyNumberFormat="1" applyFont="1" applyFill="1" applyBorder="1" applyAlignment="1">
      <alignment horizontal="center" vertical="center"/>
    </xf>
    <xf numFmtId="9" fontId="12" fillId="23" borderId="1" xfId="0" applyNumberFormat="1" applyFont="1" applyFill="1" applyBorder="1" applyAlignment="1">
      <alignment horizontal="center" vertical="center"/>
    </xf>
    <xf numFmtId="9" fontId="12" fillId="24" borderId="1" xfId="0" applyNumberFormat="1" applyFont="1" applyFill="1" applyBorder="1" applyAlignment="1">
      <alignment horizontal="center" vertical="center"/>
    </xf>
    <xf numFmtId="0" fontId="14" fillId="0" borderId="0" xfId="0" applyNumberFormat="1" applyFont="1" applyFill="1" applyAlignment="1">
      <alignment horizontal="left" vertical="center"/>
    </xf>
    <xf numFmtId="0" fontId="15" fillId="0" borderId="0" xfId="0" applyNumberFormat="1" applyFont="1" applyFill="1" applyAlignment="1">
      <alignment horizontal="left" vertical="center"/>
    </xf>
    <xf numFmtId="182" fontId="5" fillId="8" borderId="0" xfId="0" applyNumberFormat="1" applyFont="1" applyFill="1" applyAlignment="1">
      <alignment horizontal="left" vertical="center"/>
    </xf>
    <xf numFmtId="9" fontId="5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66FF"/>
      <color rgb="FF0000FF"/>
      <color rgb="FFBAB5FD"/>
      <color rgb="FF3E2E9E"/>
      <color rgb="FF2D309F"/>
      <color rgb="FF263BA6"/>
      <color rgb="FFCED6A8"/>
      <color rgb="FF5FFF91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17500" y="698500"/>
    <xdr:ext cx="1371600" cy="317500"/>
    <xdr:sp macro="[0]!ProgressChart.UpdateGantt" textlink="">
      <xdr:nvSpPr>
        <xdr:cNvPr id="2000" name="PG_Button_UpdateGantt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>
        <a:xfrm>
          <a:off x="317500" y="698500"/>
          <a:ext cx="13716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Update Gantt</a:t>
          </a:r>
          <a:endParaRPr lang="en-US" sz="1000"/>
        </a:p>
      </xdr:txBody>
    </xdr:sp>
    <xdr:clientData fPrintsWithSheet="0"/>
  </xdr:absoluteAnchor>
  <xdr:absoluteAnchor>
    <xdr:pos x="1790700" y="698500"/>
    <xdr:ext cx="1574800" cy="317500"/>
    <xdr:sp macro="[0]!ProgressChart.OpenProgressChart" textlink="">
      <xdr:nvSpPr>
        <xdr:cNvPr id="2001" name="PG_Button_OpenProgressChart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>
        <a:xfrm>
          <a:off x="1790700" y="698500"/>
          <a:ext cx="15748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Open Milestones</a:t>
          </a:r>
          <a:endParaRPr lang="en-US" sz="1000"/>
        </a:p>
      </xdr:txBody>
    </xdr:sp>
    <xdr:clientData fPrintsWithSheet="0"/>
  </xdr:absoluteAnchor>
  <xdr:absoluteAnchor>
    <xdr:pos x="3467100" y="698500"/>
    <xdr:ext cx="1968500" cy="317500"/>
    <xdr:sp macro="[0]!ProgressChart.ImportSelectedMilestones" textlink="">
      <xdr:nvSpPr>
        <xdr:cNvPr id="2002" name="PG_Button_ImportSelectedMilestones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>
        <a:xfrm>
          <a:off x="3467100" y="698500"/>
          <a:ext cx="19685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Import Selected Tasks</a:t>
          </a:r>
          <a:endParaRPr lang="en-US" sz="1000"/>
        </a:p>
      </xdr:txBody>
    </xdr:sp>
    <xdr:clientData fPrintsWithSheet="0"/>
  </xdr:absoluteAnchor>
  <xdr:absoluteAnchor>
    <xdr:pos x="5537200" y="698500"/>
    <xdr:ext cx="1193800" cy="317500"/>
    <xdr:sp macro="[0]!ProgressChart.RefreshAll" textlink="">
      <xdr:nvSpPr>
        <xdr:cNvPr id="2003" name="PG_Button_RefreshAll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>
        <a:xfrm>
          <a:off x="5537200" y="698500"/>
          <a:ext cx="1193800" cy="317500"/>
        </a:xfrm>
        <a:prstGeom prst="roundRect">
          <a:avLst/>
        </a:prstGeom>
        <a:solidFill>
          <a:srgbClr val="7C3AED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Refresh All</a:t>
          </a:r>
          <a:endParaRPr lang="en-US" sz="1000"/>
        </a:p>
      </xdr:txBody>
    </xdr:sp>
    <xdr:clientData fPrintsWithSheet="0"/>
  </xdr:absoluteAnchor>
  <xdr:absoluteAnchor>
    <xdr:pos x="6832600" y="698500"/>
    <xdr:ext cx="1079500" cy="317500"/>
    <xdr:sp macro="[0]!ProgressChart.AddTask" textlink="">
      <xdr:nvSpPr>
        <xdr:cNvPr id="2004" name="PG_Button_AddTask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>
        <a:xfrm>
          <a:off x="6832600" y="698500"/>
          <a:ext cx="10795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Add Task</a:t>
          </a:r>
          <a:endParaRPr lang="en-US" sz="1000"/>
        </a:p>
      </xdr:txBody>
    </xdr:sp>
    <xdr:clientData fPrintsWithSheet="0"/>
  </xdr:absoluteAnchor>
  <xdr:absoluteAnchor>
    <xdr:pos x="8013700" y="698500"/>
    <xdr:ext cx="1320800" cy="317500"/>
    <xdr:sp macro="[0]!ProgressChart.AddSubtask" textlink="">
      <xdr:nvSpPr>
        <xdr:cNvPr id="2005" name="PG_Button_AddSubtask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>
        <a:xfrm>
          <a:off x="8013700" y="698500"/>
          <a:ext cx="13208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Add Subtask</a:t>
          </a:r>
          <a:endParaRPr lang="en-US" sz="1000"/>
        </a:p>
      </xdr:txBody>
    </xdr:sp>
    <xdr:clientData fPrintsWithSheet="0"/>
  </xdr:absoluteAnchor>
  <xdr:absoluteAnchor>
    <xdr:pos x="9436100" y="698500"/>
    <xdr:ext cx="1308100" cy="317500"/>
    <xdr:sp macro="[0]!ProgressChart.PromoteTasks" textlink="">
      <xdr:nvSpPr>
        <xdr:cNvPr id="2006" name="PG_Button_PromoteTasks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>
        <a:xfrm>
          <a:off x="9436100" y="698500"/>
          <a:ext cx="1308100" cy="317500"/>
        </a:xfrm>
        <a:prstGeom prst="roundRect">
          <a:avLst/>
        </a:prstGeom>
        <a:solidFill>
          <a:srgbClr val="47556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Promote (-1)</a:t>
          </a:r>
          <a:endParaRPr lang="en-US" sz="1000"/>
        </a:p>
      </xdr:txBody>
    </xdr:sp>
    <xdr:clientData fPrintsWithSheet="0"/>
  </xdr:absoluteAnchor>
  <xdr:absoluteAnchor>
    <xdr:pos x="10845800" y="698500"/>
    <xdr:ext cx="1308100" cy="317500"/>
    <xdr:sp macro="[0]!ProgressChart.DemoteTasks" textlink="">
      <xdr:nvSpPr>
        <xdr:cNvPr id="2007" name="PG_Button_DemoteTasks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>
        <a:xfrm>
          <a:off x="10845800" y="698500"/>
          <a:ext cx="1308100" cy="317500"/>
        </a:xfrm>
        <a:prstGeom prst="roundRect">
          <a:avLst/>
        </a:prstGeom>
        <a:solidFill>
          <a:srgbClr val="475569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Demote (+1)</a:t>
          </a:r>
          <a:endParaRPr lang="en-US" sz="1000"/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17500" y="1181100"/>
    <xdr:ext cx="2171700" cy="317500"/>
    <xdr:sp macro="[0]!ProgressChart.GenerateProgressChart" textlink="">
      <xdr:nvSpPr>
        <xdr:cNvPr id="2" name="PG_Button_GenerateProgress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7500" y="1181100"/>
          <a:ext cx="2171700" cy="317500"/>
        </a:xfrm>
        <a:prstGeom prst="roundRect">
          <a:avLst/>
        </a:prstGeom>
        <a:solidFill>
          <a:srgbClr val="2563E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Generate / Refresh Chart</a:t>
          </a:r>
          <a:endParaRPr lang="en-US" sz="1000"/>
        </a:p>
      </xdr:txBody>
    </xdr:sp>
    <xdr:clientData fPrintsWithSheet="0"/>
  </xdr:absoluteAnchor>
  <xdr:absoluteAnchor>
    <xdr:pos x="2641600" y="1181100"/>
    <xdr:ext cx="1447800" cy="317500"/>
    <xdr:sp macro="[0]!ProgressChart.CopyProgressChart" textlink="">
      <xdr:nvSpPr>
        <xdr:cNvPr id="3" name="PG_Button_CopyProgress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641600" y="1181100"/>
          <a:ext cx="1447800" cy="317500"/>
        </a:xfrm>
        <a:prstGeom prst="roundRect">
          <a:avLst/>
        </a:prstGeom>
        <a:solidFill>
          <a:srgbClr val="0F766E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Copy Chart</a:t>
          </a:r>
          <a:endParaRPr lang="en-US" sz="1000"/>
        </a:p>
      </xdr:txBody>
    </xdr:sp>
    <xdr:clientData fPrintsWithSheet="0"/>
  </xdr:absoluteAnchor>
  <xdr:absoluteAnchor>
    <xdr:pos x="4254500" y="1181100"/>
    <xdr:ext cx="1587500" cy="317500"/>
    <xdr:sp macro="[0]!ProgressChart.WidenProgressChart" textlink="">
      <xdr:nvSpPr>
        <xdr:cNvPr id="4" name="PG_Button_WidenProgress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54500" y="1181100"/>
          <a:ext cx="1587500" cy="317500"/>
        </a:xfrm>
        <a:prstGeom prst="roundRect">
          <a:avLst/>
        </a:prstGeom>
        <a:solidFill>
          <a:srgbClr val="7C3AED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Widen Spacing</a:t>
          </a:r>
          <a:endParaRPr lang="en-US" sz="1000"/>
        </a:p>
      </xdr:txBody>
    </xdr:sp>
    <xdr:clientData fPrintsWithSheet="0"/>
  </xdr:absoluteAnchor>
  <xdr:absoluteAnchor>
    <xdr:pos x="5994400" y="1181100"/>
    <xdr:ext cx="1587500" cy="317500"/>
    <xdr:sp macro="[0]!ProgressChart.NarrowProgressChart" textlink="">
      <xdr:nvSpPr>
        <xdr:cNvPr id="5" name="PG_Button_NarrowProgress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994400" y="1181100"/>
          <a:ext cx="1587500" cy="317500"/>
        </a:xfrm>
        <a:prstGeom prst="roundRect">
          <a:avLst/>
        </a:prstGeom>
        <a:solidFill>
          <a:srgbClr val="64748B"/>
        </a:solidFill>
        <a:ln>
          <a:noFill/>
        </a:ln>
      </xdr:spPr>
      <xdr:txBody>
        <a:bodyPr wrap="square" lIns="0" tIns="0" rIns="0" bIns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rial"/>
              <a:ea typeface="Arial"/>
            </a:rPr>
            <a:t>Narrow Spacing</a:t>
          </a:r>
          <a:endParaRPr lang="en-US" sz="1000"/>
        </a:p>
      </xdr:txBody>
    </xdr:sp>
    <xdr:clientData fPrintsWithSheet="0"/>
  </xdr:absoluteAnchor>
  <xdr:twoCellAnchor editAs="absolute">
    <xdr:from>
      <xdr:col>11</xdr:col>
      <xdr:colOff>0</xdr:colOff>
      <xdr:row>2</xdr:row>
      <xdr:rowOff>0</xdr:rowOff>
    </xdr:from>
    <xdr:to>
      <xdr:col>20</xdr:col>
      <xdr:colOff>533400</xdr:colOff>
      <xdr:row>8</xdr:row>
      <xdr:rowOff>85725</xdr:rowOff>
    </xdr:to>
    <xdr:grpSp>
      <xdr:nvGrpSpPr>
        <xdr:cNvPr id="47" name="WBS_ProgressChart" descr="Milestones: sorted by date, Equal spacing, 6 milestones.">
          <a:extLst>
            <a:ext uri="{FF2B5EF4-FFF2-40B4-BE49-F238E27FC236}">
              <a16:creationId xmlns:a16="http://schemas.microsoft.com/office/drawing/2014/main" id="{A7A58DDE-8D86-434E-8D74-33C90E91EF1C}"/>
            </a:ext>
          </a:extLst>
        </xdr:cNvPr>
        <xdr:cNvGrpSpPr/>
      </xdr:nvGrpSpPr>
      <xdr:grpSpPr>
        <a:xfrm>
          <a:off x="14847094" y="559594"/>
          <a:ext cx="8784431" cy="1669256"/>
          <a:chOff x="14849475" y="561975"/>
          <a:chExt cx="8763000" cy="1657350"/>
        </a:xfrm>
      </xdr:grpSpPr>
      <xdr:sp macro="" textlink="">
        <xdr:nvSpPr>
          <xdr:cNvPr id="39" name="WBS_PG_TMP_SHAPE_39">
            <a:extLst>
              <a:ext uri="{FF2B5EF4-FFF2-40B4-BE49-F238E27FC236}">
                <a16:creationId xmlns:a16="http://schemas.microsoft.com/office/drawing/2014/main" id="{65647E0A-B63B-4B5B-95A5-D4F0E3778126}"/>
              </a:ext>
            </a:extLst>
          </xdr:cNvPr>
          <xdr:cNvSpPr/>
        </xdr:nvSpPr>
        <xdr:spPr>
          <a:xfrm>
            <a:off x="14849475" y="561975"/>
            <a:ext cx="8763000" cy="1657350"/>
          </a:xfrm>
          <a:prstGeom prst="rect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" name="WBS_PG_TMP_SHAPE_6">
            <a:extLst>
              <a:ext uri="{FF2B5EF4-FFF2-40B4-BE49-F238E27FC236}">
                <a16:creationId xmlns:a16="http://schemas.microsoft.com/office/drawing/2014/main" id="{FE3A83B4-7081-40EF-AB51-CAB246F3D6F9}"/>
              </a:ext>
            </a:extLst>
          </xdr:cNvPr>
          <xdr:cNvSpPr txBox="1"/>
        </xdr:nvSpPr>
        <xdr:spPr>
          <a:xfrm>
            <a:off x="15205075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Intuitive interface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7" name="WBS_PG_TMP_SHAPE_7">
            <a:extLst>
              <a:ext uri="{FF2B5EF4-FFF2-40B4-BE49-F238E27FC236}">
                <a16:creationId xmlns:a16="http://schemas.microsoft.com/office/drawing/2014/main" id="{6DF3F641-640A-4EEA-8385-A46B8B8C2130}"/>
              </a:ext>
            </a:extLst>
          </xdr:cNvPr>
          <xdr:cNvSpPr txBox="1"/>
        </xdr:nvSpPr>
        <xdr:spPr>
          <a:xfrm>
            <a:off x="15482359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8/6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8" name="WBS_PG_TMP_SHAPE_8">
            <a:extLst>
              <a:ext uri="{FF2B5EF4-FFF2-40B4-BE49-F238E27FC236}">
                <a16:creationId xmlns:a16="http://schemas.microsoft.com/office/drawing/2014/main" id="{42AFA463-B3A9-453D-84F3-A83FC342A944}"/>
              </a:ext>
            </a:extLst>
          </xdr:cNvPr>
          <xdr:cNvSpPr txBox="1"/>
        </xdr:nvSpPr>
        <xdr:spPr>
          <a:xfrm>
            <a:off x="16572443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Benefits of application development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9" name="WBS_PG_TMP_SHAPE_9">
            <a:extLst>
              <a:ext uri="{FF2B5EF4-FFF2-40B4-BE49-F238E27FC236}">
                <a16:creationId xmlns:a16="http://schemas.microsoft.com/office/drawing/2014/main" id="{546057E6-705E-47F2-8123-3DCCC9D6C97E}"/>
              </a:ext>
            </a:extLst>
          </xdr:cNvPr>
          <xdr:cNvSpPr txBox="1"/>
        </xdr:nvSpPr>
        <xdr:spPr>
          <a:xfrm>
            <a:off x="16849725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8/10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1" name="WBS_PG_TMP_SHAPE_31">
            <a:extLst>
              <a:ext uri="{FF2B5EF4-FFF2-40B4-BE49-F238E27FC236}">
                <a16:creationId xmlns:a16="http://schemas.microsoft.com/office/drawing/2014/main" id="{7077451C-D0FE-4266-BF08-98C79D7A793D}"/>
              </a:ext>
            </a:extLst>
          </xdr:cNvPr>
          <xdr:cNvSpPr txBox="1"/>
        </xdr:nvSpPr>
        <xdr:spPr>
          <a:xfrm>
            <a:off x="17939807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Program components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2" name="WBS_PG_TMP_SHAPE_32">
            <a:extLst>
              <a:ext uri="{FF2B5EF4-FFF2-40B4-BE49-F238E27FC236}">
                <a16:creationId xmlns:a16="http://schemas.microsoft.com/office/drawing/2014/main" id="{3C412202-E992-4269-9AA6-72EA1359F249}"/>
              </a:ext>
            </a:extLst>
          </xdr:cNvPr>
          <xdr:cNvSpPr txBox="1"/>
        </xdr:nvSpPr>
        <xdr:spPr>
          <a:xfrm>
            <a:off x="18217091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8/15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3" name="WBS_PG_TMP_SHAPE_33">
            <a:extLst>
              <a:ext uri="{FF2B5EF4-FFF2-40B4-BE49-F238E27FC236}">
                <a16:creationId xmlns:a16="http://schemas.microsoft.com/office/drawing/2014/main" id="{8D71DFD0-8801-47EE-8475-F9D7EC933EB1}"/>
              </a:ext>
            </a:extLst>
          </xdr:cNvPr>
          <xdr:cNvSpPr txBox="1"/>
        </xdr:nvSpPr>
        <xdr:spPr>
          <a:xfrm>
            <a:off x="19307175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Application structure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4" name="WBS_PG_TMP_SHAPE_34">
            <a:extLst>
              <a:ext uri="{FF2B5EF4-FFF2-40B4-BE49-F238E27FC236}">
                <a16:creationId xmlns:a16="http://schemas.microsoft.com/office/drawing/2014/main" id="{5CD8AFFC-1BD3-4F89-9AC6-4FB642923E93}"/>
              </a:ext>
            </a:extLst>
          </xdr:cNvPr>
          <xdr:cNvSpPr txBox="1"/>
        </xdr:nvSpPr>
        <xdr:spPr>
          <a:xfrm>
            <a:off x="19584459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8/21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5" name="WBS_PG_TMP_SHAPE_35">
            <a:extLst>
              <a:ext uri="{FF2B5EF4-FFF2-40B4-BE49-F238E27FC236}">
                <a16:creationId xmlns:a16="http://schemas.microsoft.com/office/drawing/2014/main" id="{9737BBB0-F43A-405D-A68D-245A04BD5474}"/>
              </a:ext>
            </a:extLst>
          </xdr:cNvPr>
          <xdr:cNvSpPr txBox="1"/>
        </xdr:nvSpPr>
        <xdr:spPr>
          <a:xfrm>
            <a:off x="20674543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Object-oriented programming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6" name="WBS_PG_TMP_SHAPE_36">
            <a:extLst>
              <a:ext uri="{FF2B5EF4-FFF2-40B4-BE49-F238E27FC236}">
                <a16:creationId xmlns:a16="http://schemas.microsoft.com/office/drawing/2014/main" id="{6F8D42AA-84FC-4935-8F1D-3099BF423929}"/>
              </a:ext>
            </a:extLst>
          </xdr:cNvPr>
          <xdr:cNvSpPr txBox="1"/>
        </xdr:nvSpPr>
        <xdr:spPr>
          <a:xfrm>
            <a:off x="20951825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8/21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7" name="WBS_PG_TMP_SHAPE_37">
            <a:extLst>
              <a:ext uri="{FF2B5EF4-FFF2-40B4-BE49-F238E27FC236}">
                <a16:creationId xmlns:a16="http://schemas.microsoft.com/office/drawing/2014/main" id="{1EA80514-6EB3-496E-9E10-8ED1D81470BD}"/>
              </a:ext>
            </a:extLst>
          </xdr:cNvPr>
          <xdr:cNvSpPr txBox="1"/>
        </xdr:nvSpPr>
        <xdr:spPr>
          <a:xfrm>
            <a:off x="22041907" y="1577975"/>
            <a:ext cx="1214966" cy="51435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Application development process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38" name="WBS_PG_TMP_SHAPE_38">
            <a:extLst>
              <a:ext uri="{FF2B5EF4-FFF2-40B4-BE49-F238E27FC236}">
                <a16:creationId xmlns:a16="http://schemas.microsoft.com/office/drawing/2014/main" id="{1B6472A8-4D71-4518-85AB-DE2BBBE55BC9}"/>
              </a:ext>
            </a:extLst>
          </xdr:cNvPr>
          <xdr:cNvSpPr txBox="1"/>
        </xdr:nvSpPr>
        <xdr:spPr>
          <a:xfrm>
            <a:off x="22319191" y="1015365"/>
            <a:ext cx="660400" cy="165100"/>
          </a:xfrm>
          <a:prstGeom prst="rect">
            <a:avLst/>
          </a:prstGeom>
          <a:solidFill>
            <a:srgbClr val="FFFFFF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0" tIns="0" rIns="0" bIns="0" rtlCol="0" anchor="t">
            <a:noAutofit/>
          </a:bodyPr>
          <a:lstStyle/>
          <a:p>
            <a:pPr algn="ctr"/>
            <a:r>
              <a:rPr lang="en-US" altLang="zh-CN" sz="1000" b="1">
                <a:solidFill>
                  <a:srgbClr val="000000"/>
                </a:solidFill>
                <a:latin typeface="Arial" panose="020B0604020202020204" pitchFamily="34" charset="0"/>
              </a:rPr>
              <a:t>9/3</a:t>
            </a:r>
            <a:endParaRPr lang="zh-CN" altLang="en-US" sz="1000" b="1">
              <a:solidFill>
                <a:srgbClr val="000000"/>
              </a:solidFill>
              <a:latin typeface="Arial" panose="020B0604020202020204" pitchFamily="34" charset="0"/>
            </a:endParaRPr>
          </a:p>
        </xdr:txBody>
      </xdr:sp>
      <xdr:sp macro="" textlink="">
        <xdr:nvSpPr>
          <xdr:cNvPr id="40" name="WBS_PG_TMP_SHAPE_40">
            <a:extLst>
              <a:ext uri="{FF2B5EF4-FFF2-40B4-BE49-F238E27FC236}">
                <a16:creationId xmlns:a16="http://schemas.microsoft.com/office/drawing/2014/main" id="{8450A6E9-7E1B-4C09-924E-FA521C2099D0}"/>
              </a:ext>
            </a:extLst>
          </xdr:cNvPr>
          <xdr:cNvSpPr/>
        </xdr:nvSpPr>
        <xdr:spPr>
          <a:xfrm>
            <a:off x="14951075" y="1273175"/>
            <a:ext cx="8559800" cy="152400"/>
          </a:xfrm>
          <a:prstGeom prst="rightArrow">
            <a:avLst>
              <a:gd name="adj1" fmla="val 55000"/>
              <a:gd name="adj2" fmla="val 60000"/>
            </a:avLst>
          </a:prstGeom>
          <a:solidFill>
            <a:srgbClr val="8B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1" name="WBS_PG_TMP_SHAPE_41">
            <a:extLst>
              <a:ext uri="{FF2B5EF4-FFF2-40B4-BE49-F238E27FC236}">
                <a16:creationId xmlns:a16="http://schemas.microsoft.com/office/drawing/2014/main" id="{B614FF7D-458F-4DE9-9AA8-CCD49FDE33F5}"/>
              </a:ext>
            </a:extLst>
          </xdr:cNvPr>
          <xdr:cNvSpPr/>
        </xdr:nvSpPr>
        <xdr:spPr>
          <a:xfrm>
            <a:off x="15749059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2" name="WBS_PG_TMP_SHAPE_42">
            <a:extLst>
              <a:ext uri="{FF2B5EF4-FFF2-40B4-BE49-F238E27FC236}">
                <a16:creationId xmlns:a16="http://schemas.microsoft.com/office/drawing/2014/main" id="{6E05E8F2-A3C6-475D-8450-B8E6BA783D97}"/>
              </a:ext>
            </a:extLst>
          </xdr:cNvPr>
          <xdr:cNvSpPr/>
        </xdr:nvSpPr>
        <xdr:spPr>
          <a:xfrm>
            <a:off x="17116425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3" name="WBS_PG_TMP_SHAPE_43">
            <a:extLst>
              <a:ext uri="{FF2B5EF4-FFF2-40B4-BE49-F238E27FC236}">
                <a16:creationId xmlns:a16="http://schemas.microsoft.com/office/drawing/2014/main" id="{F91CFFEE-707D-4E83-AE33-928B77BC24C3}"/>
              </a:ext>
            </a:extLst>
          </xdr:cNvPr>
          <xdr:cNvSpPr/>
        </xdr:nvSpPr>
        <xdr:spPr>
          <a:xfrm>
            <a:off x="18483791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4" name="WBS_PG_TMP_SHAPE_44">
            <a:extLst>
              <a:ext uri="{FF2B5EF4-FFF2-40B4-BE49-F238E27FC236}">
                <a16:creationId xmlns:a16="http://schemas.microsoft.com/office/drawing/2014/main" id="{82722AFA-092A-47AD-932B-0CEAF97B1161}"/>
              </a:ext>
            </a:extLst>
          </xdr:cNvPr>
          <xdr:cNvSpPr/>
        </xdr:nvSpPr>
        <xdr:spPr>
          <a:xfrm>
            <a:off x="19851159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5" name="WBS_PG_TMP_SHAPE_45">
            <a:extLst>
              <a:ext uri="{FF2B5EF4-FFF2-40B4-BE49-F238E27FC236}">
                <a16:creationId xmlns:a16="http://schemas.microsoft.com/office/drawing/2014/main" id="{5E13E12B-9A50-4309-B94E-A719F46167EE}"/>
              </a:ext>
            </a:extLst>
          </xdr:cNvPr>
          <xdr:cNvSpPr/>
        </xdr:nvSpPr>
        <xdr:spPr>
          <a:xfrm>
            <a:off x="21218525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6" name="WBS_PG_TMP_SHAPE_46">
            <a:extLst>
              <a:ext uri="{FF2B5EF4-FFF2-40B4-BE49-F238E27FC236}">
                <a16:creationId xmlns:a16="http://schemas.microsoft.com/office/drawing/2014/main" id="{56CE02EA-BA32-4CB4-931F-E256DB765AF2}"/>
              </a:ext>
            </a:extLst>
          </xdr:cNvPr>
          <xdr:cNvSpPr/>
        </xdr:nvSpPr>
        <xdr:spPr>
          <a:xfrm>
            <a:off x="22585891" y="1205865"/>
            <a:ext cx="127000" cy="203200"/>
          </a:xfrm>
          <a:prstGeom prst="triangle">
            <a:avLst/>
          </a:prstGeom>
          <a:solidFill>
            <a:srgbClr val="F2A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19"/>
  <sheetViews>
    <sheetView showGridLines="0" zoomScaleNormal="100" workbookViewId="0">
      <pane xSplit="3" ySplit="5" topLeftCell="D6" activePane="bottomRight" state="frozen"/>
      <selection pane="topRight"/>
      <selection pane="bottomLeft"/>
      <selection pane="bottomRight" activeCell="C10" sqref="C10:C15"/>
    </sheetView>
  </sheetViews>
  <sheetFormatPr defaultRowHeight="14.25"/>
  <cols>
    <col min="1" max="1" width="3" customWidth="1"/>
    <col min="2" max="2" width="7" customWidth="1"/>
    <col min="3" max="3" width="40" customWidth="1"/>
    <col min="4" max="4" width="14" customWidth="1"/>
    <col min="5" max="5" width="13" customWidth="1"/>
    <col min="6" max="6" width="8" customWidth="1"/>
    <col min="7" max="8" width="15" customWidth="1"/>
    <col min="9" max="13" width="14" hidden="1" customWidth="1"/>
    <col min="14" max="14" width="12" customWidth="1"/>
    <col min="15" max="15" width="40" customWidth="1"/>
    <col min="16" max="25" width="14" hidden="1" customWidth="1"/>
    <col min="26" max="59" width="6" customWidth="1"/>
  </cols>
  <sheetData>
    <row r="1" spans="2:59" ht="27.95" customHeight="1">
      <c r="B1" s="15" t="s">
        <v>45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2:59" ht="21.95" customHeight="1">
      <c r="B2" s="17" t="s">
        <v>46</v>
      </c>
      <c r="C2" s="16"/>
      <c r="D2" s="1"/>
      <c r="E2" s="18" t="s">
        <v>47</v>
      </c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2:59" ht="33.950000000000003" customHeight="1"/>
    <row r="4" spans="2:59" ht="21.95" customHeight="1">
      <c r="Z4" s="11">
        <v>43313</v>
      </c>
      <c r="AA4" s="11">
        <v>43314</v>
      </c>
      <c r="AB4" s="11">
        <v>43315</v>
      </c>
      <c r="AC4" s="13">
        <v>43316</v>
      </c>
      <c r="AD4" s="13">
        <v>43317</v>
      </c>
      <c r="AE4" s="11">
        <v>43318</v>
      </c>
      <c r="AF4" s="11">
        <v>43319</v>
      </c>
      <c r="AG4" s="11">
        <v>43320</v>
      </c>
      <c r="AH4" s="11">
        <v>43321</v>
      </c>
      <c r="AI4" s="11">
        <v>43322</v>
      </c>
      <c r="AJ4" s="13">
        <v>43323</v>
      </c>
      <c r="AK4" s="13">
        <v>43324</v>
      </c>
      <c r="AL4" s="11">
        <v>43325</v>
      </c>
      <c r="AM4" s="11">
        <v>43326</v>
      </c>
      <c r="AN4" s="11">
        <v>43327</v>
      </c>
      <c r="AO4" s="11">
        <v>43328</v>
      </c>
      <c r="AP4" s="11">
        <v>43329</v>
      </c>
      <c r="AQ4" s="13">
        <v>43330</v>
      </c>
      <c r="AR4" s="13">
        <v>43331</v>
      </c>
      <c r="AS4" s="11">
        <v>43332</v>
      </c>
      <c r="AT4" s="11">
        <v>43333</v>
      </c>
      <c r="AU4" s="11">
        <v>43334</v>
      </c>
      <c r="AV4" s="11">
        <v>43335</v>
      </c>
      <c r="AW4" s="11">
        <v>43336</v>
      </c>
      <c r="AX4" s="13">
        <v>43337</v>
      </c>
      <c r="AY4" s="13">
        <v>43338</v>
      </c>
      <c r="AZ4" s="11">
        <v>43339</v>
      </c>
      <c r="BA4" s="11">
        <v>43340</v>
      </c>
      <c r="BB4" s="11">
        <v>43341</v>
      </c>
      <c r="BC4" s="11">
        <v>43342</v>
      </c>
      <c r="BD4" s="11">
        <v>43343</v>
      </c>
      <c r="BE4" s="13">
        <v>43344</v>
      </c>
      <c r="BF4" s="13">
        <v>43345</v>
      </c>
      <c r="BG4" s="11">
        <v>43346</v>
      </c>
    </row>
    <row r="5" spans="2:59" ht="42" customHeight="1">
      <c r="B5" s="9" t="s">
        <v>0</v>
      </c>
      <c r="C5" s="9" t="s">
        <v>1</v>
      </c>
      <c r="D5" s="9" t="s">
        <v>2</v>
      </c>
      <c r="E5" s="9" t="s">
        <v>3</v>
      </c>
      <c r="F5" s="9" t="s">
        <v>15</v>
      </c>
      <c r="G5" s="9" t="s">
        <v>9</v>
      </c>
      <c r="H5" s="9" t="s">
        <v>10</v>
      </c>
      <c r="I5" s="9" t="s">
        <v>11</v>
      </c>
      <c r="J5" s="9" t="s">
        <v>12</v>
      </c>
      <c r="K5" s="9" t="s">
        <v>4</v>
      </c>
      <c r="L5" s="9" t="s">
        <v>5</v>
      </c>
      <c r="M5" s="9" t="s">
        <v>6</v>
      </c>
      <c r="N5" s="9" t="s">
        <v>7</v>
      </c>
      <c r="O5" s="9" t="s">
        <v>8</v>
      </c>
      <c r="P5" s="9" t="s">
        <v>13</v>
      </c>
      <c r="Q5" s="10" t="s">
        <v>14</v>
      </c>
      <c r="R5" s="10" t="s">
        <v>36</v>
      </c>
      <c r="S5" s="10" t="s">
        <v>37</v>
      </c>
      <c r="T5" s="10" t="s">
        <v>38</v>
      </c>
      <c r="U5" s="10" t="s">
        <v>39</v>
      </c>
      <c r="V5" s="10" t="s">
        <v>40</v>
      </c>
      <c r="W5" s="10" t="s">
        <v>41</v>
      </c>
      <c r="X5" s="10" t="s">
        <v>30</v>
      </c>
      <c r="Y5" s="10" t="s">
        <v>31</v>
      </c>
      <c r="Z5" s="12" t="s">
        <v>48</v>
      </c>
      <c r="AA5" s="12" t="s">
        <v>49</v>
      </c>
      <c r="AB5" s="12" t="s">
        <v>50</v>
      </c>
      <c r="AC5" s="14" t="s">
        <v>51</v>
      </c>
      <c r="AD5" s="14" t="s">
        <v>52</v>
      </c>
      <c r="AE5" s="12" t="s">
        <v>53</v>
      </c>
      <c r="AF5" s="12" t="s">
        <v>54</v>
      </c>
      <c r="AG5" s="12" t="s">
        <v>48</v>
      </c>
      <c r="AH5" s="12" t="s">
        <v>49</v>
      </c>
      <c r="AI5" s="12" t="s">
        <v>50</v>
      </c>
      <c r="AJ5" s="14" t="s">
        <v>51</v>
      </c>
      <c r="AK5" s="14" t="s">
        <v>52</v>
      </c>
      <c r="AL5" s="12" t="s">
        <v>53</v>
      </c>
      <c r="AM5" s="12" t="s">
        <v>54</v>
      </c>
      <c r="AN5" s="12" t="s">
        <v>48</v>
      </c>
      <c r="AO5" s="12" t="s">
        <v>49</v>
      </c>
      <c r="AP5" s="12" t="s">
        <v>50</v>
      </c>
      <c r="AQ5" s="14" t="s">
        <v>51</v>
      </c>
      <c r="AR5" s="14" t="s">
        <v>52</v>
      </c>
      <c r="AS5" s="12" t="s">
        <v>53</v>
      </c>
      <c r="AT5" s="12" t="s">
        <v>54</v>
      </c>
      <c r="AU5" s="12" t="s">
        <v>48</v>
      </c>
      <c r="AV5" s="12" t="s">
        <v>49</v>
      </c>
      <c r="AW5" s="12" t="s">
        <v>50</v>
      </c>
      <c r="AX5" s="14" t="s">
        <v>51</v>
      </c>
      <c r="AY5" s="14" t="s">
        <v>52</v>
      </c>
      <c r="AZ5" s="12" t="s">
        <v>53</v>
      </c>
      <c r="BA5" s="12" t="s">
        <v>54</v>
      </c>
      <c r="BB5" s="12" t="s">
        <v>48</v>
      </c>
      <c r="BC5" s="12" t="s">
        <v>49</v>
      </c>
      <c r="BD5" s="12" t="s">
        <v>50</v>
      </c>
      <c r="BE5" s="14" t="s">
        <v>51</v>
      </c>
      <c r="BF5" s="14" t="s">
        <v>52</v>
      </c>
      <c r="BG5" s="12" t="s">
        <v>53</v>
      </c>
    </row>
    <row r="6" spans="2:59" s="35" customFormat="1" ht="24" customHeight="1">
      <c r="B6" s="22">
        <v>1</v>
      </c>
      <c r="C6" s="23" t="s">
        <v>16</v>
      </c>
      <c r="D6" s="24"/>
      <c r="E6" s="25"/>
      <c r="F6" s="60">
        <v>34</v>
      </c>
      <c r="G6" s="26">
        <v>43313</v>
      </c>
      <c r="H6" s="26">
        <v>43346</v>
      </c>
      <c r="I6" s="27"/>
      <c r="J6" s="27"/>
      <c r="K6" s="22"/>
      <c r="L6" s="28"/>
      <c r="M6" s="28"/>
      <c r="N6" s="29">
        <v>0.64411764705882357</v>
      </c>
      <c r="O6" s="30"/>
      <c r="P6" s="27">
        <v>43313</v>
      </c>
      <c r="Q6" s="31">
        <v>43360</v>
      </c>
      <c r="R6" s="32"/>
      <c r="S6" s="32"/>
      <c r="T6" s="22"/>
      <c r="U6" s="32"/>
      <c r="V6" s="32"/>
      <c r="W6" s="32"/>
      <c r="X6" s="33" t="s">
        <v>55</v>
      </c>
      <c r="Y6" s="33">
        <v>1</v>
      </c>
      <c r="Z6" s="34">
        <v>0.64411764705882357</v>
      </c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2:59" s="35" customFormat="1" ht="24" customHeight="1">
      <c r="B7" s="22">
        <v>2</v>
      </c>
      <c r="C7" s="23" t="s">
        <v>17</v>
      </c>
      <c r="D7" s="36"/>
      <c r="E7" s="25"/>
      <c r="F7" s="60">
        <v>6</v>
      </c>
      <c r="G7" s="26">
        <v>43313</v>
      </c>
      <c r="H7" s="26">
        <v>43318</v>
      </c>
      <c r="I7" s="27"/>
      <c r="J7" s="27"/>
      <c r="K7" s="22"/>
      <c r="L7" s="28"/>
      <c r="M7" s="28"/>
      <c r="N7" s="29">
        <v>1</v>
      </c>
      <c r="O7" s="30"/>
      <c r="P7" s="27">
        <v>43313</v>
      </c>
      <c r="Q7" s="31">
        <v>43320</v>
      </c>
      <c r="R7" s="32"/>
      <c r="S7" s="32"/>
      <c r="T7" s="22"/>
      <c r="U7" s="32"/>
      <c r="V7" s="32"/>
      <c r="W7" s="32"/>
      <c r="X7" s="33" t="s">
        <v>55</v>
      </c>
      <c r="Y7" s="33">
        <v>2</v>
      </c>
      <c r="Z7" s="37">
        <v>1</v>
      </c>
      <c r="AA7" s="37"/>
      <c r="AB7" s="37"/>
      <c r="AC7" s="37"/>
      <c r="AD7" s="37"/>
      <c r="AE7" s="37"/>
      <c r="AF7" s="33"/>
      <c r="AG7" s="33"/>
      <c r="AH7" s="33"/>
      <c r="AI7" s="33"/>
      <c r="AJ7" s="38"/>
      <c r="AK7" s="38"/>
      <c r="AL7" s="33"/>
      <c r="AM7" s="33"/>
      <c r="AN7" s="33"/>
      <c r="AO7" s="33"/>
      <c r="AP7" s="33"/>
      <c r="AQ7" s="38"/>
      <c r="AR7" s="38"/>
      <c r="AS7" s="33"/>
      <c r="AT7" s="33"/>
      <c r="AU7" s="33"/>
      <c r="AV7" s="33"/>
      <c r="AW7" s="33"/>
      <c r="AX7" s="38"/>
      <c r="AY7" s="38"/>
      <c r="AZ7" s="33"/>
      <c r="BA7" s="33"/>
      <c r="BB7" s="33"/>
      <c r="BC7" s="33"/>
      <c r="BD7" s="33"/>
      <c r="BE7" s="38"/>
      <c r="BF7" s="38"/>
      <c r="BG7" s="33"/>
    </row>
    <row r="8" spans="2:59" s="35" customFormat="1" ht="24" customHeight="1">
      <c r="B8" s="33">
        <v>3</v>
      </c>
      <c r="C8" s="39" t="s">
        <v>18</v>
      </c>
      <c r="D8" s="40" t="s">
        <v>42</v>
      </c>
      <c r="E8" s="41">
        <v>1</v>
      </c>
      <c r="F8" s="61">
        <v>2</v>
      </c>
      <c r="G8" s="42">
        <v>43313</v>
      </c>
      <c r="H8" s="42">
        <v>43314</v>
      </c>
      <c r="I8" s="43"/>
      <c r="J8" s="43"/>
      <c r="K8" s="33" t="s">
        <v>32</v>
      </c>
      <c r="L8" s="44">
        <v>120</v>
      </c>
      <c r="M8" s="44">
        <v>80</v>
      </c>
      <c r="N8" s="45">
        <v>1</v>
      </c>
      <c r="O8" s="40"/>
      <c r="P8" s="43">
        <v>43313</v>
      </c>
      <c r="Q8" s="46">
        <v>43314</v>
      </c>
      <c r="R8" s="47"/>
      <c r="S8" s="47"/>
      <c r="T8" s="33"/>
      <c r="U8" s="47"/>
      <c r="V8" s="47"/>
      <c r="W8" s="47"/>
      <c r="X8" s="33" t="s">
        <v>56</v>
      </c>
      <c r="Y8" s="33">
        <v>3</v>
      </c>
      <c r="Z8" s="48">
        <v>1</v>
      </c>
      <c r="AA8" s="48"/>
      <c r="AB8" s="33"/>
      <c r="AC8" s="38"/>
      <c r="AD8" s="38"/>
      <c r="AE8" s="33"/>
      <c r="AF8" s="33"/>
      <c r="AG8" s="33"/>
      <c r="AH8" s="33"/>
      <c r="AI8" s="33"/>
      <c r="AJ8" s="38"/>
      <c r="AK8" s="38"/>
      <c r="AL8" s="33"/>
      <c r="AM8" s="33"/>
      <c r="AN8" s="33"/>
      <c r="AO8" s="33"/>
      <c r="AP8" s="33"/>
      <c r="AQ8" s="38"/>
      <c r="AR8" s="38"/>
      <c r="AS8" s="33"/>
      <c r="AT8" s="33"/>
      <c r="AU8" s="33"/>
      <c r="AV8" s="33"/>
      <c r="AW8" s="33"/>
      <c r="AX8" s="38"/>
      <c r="AY8" s="38"/>
      <c r="AZ8" s="33"/>
      <c r="BA8" s="33"/>
      <c r="BB8" s="33"/>
      <c r="BC8" s="33"/>
      <c r="BD8" s="33"/>
      <c r="BE8" s="38"/>
      <c r="BF8" s="38"/>
      <c r="BG8" s="33"/>
    </row>
    <row r="9" spans="2:59" s="35" customFormat="1" ht="24" customHeight="1">
      <c r="B9" s="33">
        <v>4</v>
      </c>
      <c r="C9" s="39" t="s">
        <v>19</v>
      </c>
      <c r="D9" s="40" t="s">
        <v>42</v>
      </c>
      <c r="E9" s="41">
        <v>1</v>
      </c>
      <c r="F9" s="61">
        <v>1</v>
      </c>
      <c r="G9" s="42">
        <v>43315</v>
      </c>
      <c r="H9" s="42">
        <v>43315</v>
      </c>
      <c r="I9" s="43"/>
      <c r="J9" s="43"/>
      <c r="K9" s="33" t="s">
        <v>35</v>
      </c>
      <c r="L9" s="44">
        <v>50</v>
      </c>
      <c r="M9" s="44">
        <v>40</v>
      </c>
      <c r="N9" s="45">
        <v>1</v>
      </c>
      <c r="O9" s="40" t="str">
        <f>C8</f>
        <v xml:space="preserve">        1.1.1 Background</v>
      </c>
      <c r="P9" s="43">
        <v>43315</v>
      </c>
      <c r="Q9" s="46">
        <v>43315</v>
      </c>
      <c r="R9" s="47"/>
      <c r="S9" s="47"/>
      <c r="T9" s="33"/>
      <c r="U9" s="47"/>
      <c r="V9" s="47"/>
      <c r="W9" s="47"/>
      <c r="X9" s="33" t="s">
        <v>56</v>
      </c>
      <c r="Y9" s="33">
        <v>3</v>
      </c>
      <c r="Z9" s="33"/>
      <c r="AA9" s="33"/>
      <c r="AB9" s="49">
        <v>1</v>
      </c>
      <c r="AC9" s="38"/>
      <c r="AD9" s="38"/>
      <c r="AE9" s="33"/>
      <c r="AF9" s="33"/>
      <c r="AG9" s="33"/>
      <c r="AH9" s="33"/>
      <c r="AI9" s="33"/>
      <c r="AJ9" s="38"/>
      <c r="AK9" s="38"/>
      <c r="AL9" s="33"/>
      <c r="AM9" s="33"/>
      <c r="AN9" s="33"/>
      <c r="AO9" s="33"/>
      <c r="AP9" s="33"/>
      <c r="AQ9" s="38"/>
      <c r="AR9" s="38"/>
      <c r="AS9" s="33"/>
      <c r="AT9" s="33"/>
      <c r="AU9" s="33"/>
      <c r="AV9" s="33"/>
      <c r="AW9" s="33"/>
      <c r="AX9" s="38"/>
      <c r="AY9" s="38"/>
      <c r="AZ9" s="33"/>
      <c r="BA9" s="33"/>
      <c r="BB9" s="33"/>
      <c r="BC9" s="33"/>
      <c r="BD9" s="33"/>
      <c r="BE9" s="38"/>
      <c r="BF9" s="38"/>
      <c r="BG9" s="33"/>
    </row>
    <row r="10" spans="2:59" s="35" customFormat="1" ht="24" customHeight="1">
      <c r="B10" s="33">
        <v>5</v>
      </c>
      <c r="C10" s="39" t="s">
        <v>20</v>
      </c>
      <c r="D10" s="40" t="s">
        <v>42</v>
      </c>
      <c r="E10" s="41">
        <v>1</v>
      </c>
      <c r="F10" s="61">
        <v>3</v>
      </c>
      <c r="G10" s="42">
        <v>43316</v>
      </c>
      <c r="H10" s="42">
        <v>43318</v>
      </c>
      <c r="I10" s="43"/>
      <c r="J10" s="43"/>
      <c r="K10" s="33" t="s">
        <v>32</v>
      </c>
      <c r="L10" s="44">
        <v>66</v>
      </c>
      <c r="M10" s="44">
        <v>60</v>
      </c>
      <c r="N10" s="45">
        <v>1</v>
      </c>
      <c r="O10" s="40" t="str">
        <f>C9</f>
        <v xml:space="preserve">        1.1.2 Characteristics</v>
      </c>
      <c r="P10" s="43">
        <v>43318</v>
      </c>
      <c r="Q10" s="46">
        <v>43320</v>
      </c>
      <c r="R10" s="47"/>
      <c r="S10" s="47"/>
      <c r="T10" s="33"/>
      <c r="U10" s="47"/>
      <c r="V10" s="47"/>
      <c r="W10" s="47"/>
      <c r="X10" s="33" t="s">
        <v>56</v>
      </c>
      <c r="Y10" s="33">
        <v>3</v>
      </c>
      <c r="Z10" s="33"/>
      <c r="AA10" s="33"/>
      <c r="AB10" s="33"/>
      <c r="AC10" s="50">
        <v>1</v>
      </c>
      <c r="AD10" s="50"/>
      <c r="AE10" s="50"/>
      <c r="AF10" s="33"/>
      <c r="AG10" s="33"/>
      <c r="AH10" s="33"/>
      <c r="AI10" s="33"/>
      <c r="AJ10" s="38"/>
      <c r="AK10" s="38"/>
      <c r="AL10" s="33"/>
      <c r="AM10" s="33"/>
      <c r="AN10" s="33"/>
      <c r="AO10" s="33"/>
      <c r="AP10" s="33"/>
      <c r="AQ10" s="38"/>
      <c r="AR10" s="38"/>
      <c r="AS10" s="33"/>
      <c r="AT10" s="33"/>
      <c r="AU10" s="33"/>
      <c r="AV10" s="33"/>
      <c r="AW10" s="33"/>
      <c r="AX10" s="38"/>
      <c r="AY10" s="38"/>
      <c r="AZ10" s="33"/>
      <c r="BA10" s="33"/>
      <c r="BB10" s="33"/>
      <c r="BC10" s="33"/>
      <c r="BD10" s="33"/>
      <c r="BE10" s="38"/>
      <c r="BF10" s="38"/>
      <c r="BG10" s="33"/>
    </row>
    <row r="11" spans="2:59" s="35" customFormat="1" ht="30" customHeight="1">
      <c r="B11" s="33">
        <v>6</v>
      </c>
      <c r="C11" s="39" t="s">
        <v>21</v>
      </c>
      <c r="D11" s="40" t="s">
        <v>42</v>
      </c>
      <c r="E11" s="41">
        <v>1</v>
      </c>
      <c r="F11" s="61">
        <v>4</v>
      </c>
      <c r="G11" s="42">
        <v>43319</v>
      </c>
      <c r="H11" s="42">
        <v>43322</v>
      </c>
      <c r="I11" s="43"/>
      <c r="J11" s="43"/>
      <c r="K11" s="33" t="s">
        <v>32</v>
      </c>
      <c r="L11" s="44">
        <v>78</v>
      </c>
      <c r="M11" s="44">
        <v>70</v>
      </c>
      <c r="N11" s="45">
        <v>1</v>
      </c>
      <c r="O11" s="40" t="str">
        <f>C10</f>
        <v xml:space="preserve">        1.1.3 Intuitive interface</v>
      </c>
      <c r="P11" s="43">
        <v>43321</v>
      </c>
      <c r="Q11" s="46">
        <v>43326</v>
      </c>
      <c r="R11" s="47"/>
      <c r="S11" s="47"/>
      <c r="T11" s="33"/>
      <c r="U11" s="47"/>
      <c r="V11" s="47"/>
      <c r="W11" s="47"/>
      <c r="X11" s="33" t="s">
        <v>56</v>
      </c>
      <c r="Y11" s="33">
        <v>2</v>
      </c>
      <c r="Z11" s="33"/>
      <c r="AA11" s="33"/>
      <c r="AB11" s="33"/>
      <c r="AC11" s="38"/>
      <c r="AD11" s="38"/>
      <c r="AE11" s="33"/>
      <c r="AF11" s="51">
        <v>1</v>
      </c>
      <c r="AG11" s="51"/>
      <c r="AH11" s="51"/>
      <c r="AI11" s="51"/>
      <c r="AJ11" s="38"/>
      <c r="AK11" s="38"/>
      <c r="AL11" s="33"/>
      <c r="AM11" s="33"/>
      <c r="AN11" s="33"/>
      <c r="AO11" s="33"/>
      <c r="AP11" s="33"/>
      <c r="AQ11" s="38"/>
      <c r="AR11" s="38"/>
      <c r="AS11" s="33"/>
      <c r="AT11" s="33"/>
      <c r="AU11" s="33"/>
      <c r="AV11" s="33"/>
      <c r="AW11" s="33"/>
      <c r="AX11" s="38"/>
      <c r="AY11" s="38"/>
      <c r="AZ11" s="33"/>
      <c r="BA11" s="33"/>
      <c r="BB11" s="33"/>
      <c r="BC11" s="33"/>
      <c r="BD11" s="33"/>
      <c r="BE11" s="38"/>
      <c r="BF11" s="38"/>
      <c r="BG11" s="33"/>
    </row>
    <row r="12" spans="2:59" s="35" customFormat="1" ht="24" customHeight="1">
      <c r="B12" s="22">
        <v>7</v>
      </c>
      <c r="C12" s="23" t="s">
        <v>22</v>
      </c>
      <c r="D12" s="36"/>
      <c r="E12" s="25"/>
      <c r="F12" s="60">
        <v>11</v>
      </c>
      <c r="G12" s="26">
        <v>43323</v>
      </c>
      <c r="H12" s="26">
        <v>43333</v>
      </c>
      <c r="I12" s="27"/>
      <c r="J12" s="27"/>
      <c r="K12" s="22"/>
      <c r="L12" s="28"/>
      <c r="M12" s="28"/>
      <c r="N12" s="29">
        <v>0.8</v>
      </c>
      <c r="O12" s="30"/>
      <c r="P12" s="27">
        <v>43327</v>
      </c>
      <c r="Q12" s="31">
        <v>43341</v>
      </c>
      <c r="R12" s="32"/>
      <c r="S12" s="32"/>
      <c r="T12" s="22"/>
      <c r="U12" s="32"/>
      <c r="V12" s="32"/>
      <c r="W12" s="32"/>
      <c r="X12" s="33" t="s">
        <v>55</v>
      </c>
      <c r="Y12" s="33">
        <v>2</v>
      </c>
      <c r="Z12" s="33"/>
      <c r="AA12" s="33"/>
      <c r="AB12" s="33"/>
      <c r="AC12" s="38"/>
      <c r="AD12" s="38"/>
      <c r="AE12" s="33"/>
      <c r="AF12" s="33"/>
      <c r="AG12" s="33"/>
      <c r="AH12" s="33"/>
      <c r="AI12" s="33"/>
      <c r="AJ12" s="52">
        <v>0.8</v>
      </c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33"/>
      <c r="AV12" s="33"/>
      <c r="AW12" s="33"/>
      <c r="AX12" s="38"/>
      <c r="AY12" s="38"/>
      <c r="AZ12" s="33"/>
      <c r="BA12" s="33"/>
      <c r="BB12" s="33"/>
      <c r="BC12" s="33"/>
      <c r="BD12" s="33"/>
      <c r="BE12" s="38"/>
      <c r="BF12" s="38"/>
      <c r="BG12" s="33"/>
    </row>
    <row r="13" spans="2:59" s="35" customFormat="1" ht="24" customHeight="1">
      <c r="B13" s="33">
        <v>8</v>
      </c>
      <c r="C13" s="39" t="s">
        <v>23</v>
      </c>
      <c r="D13" s="40" t="s">
        <v>44</v>
      </c>
      <c r="E13" s="41">
        <v>1</v>
      </c>
      <c r="F13" s="61">
        <v>5</v>
      </c>
      <c r="G13" s="42">
        <v>43323</v>
      </c>
      <c r="H13" s="42">
        <v>43327</v>
      </c>
      <c r="I13" s="43"/>
      <c r="J13" s="43"/>
      <c r="K13" s="33" t="s">
        <v>33</v>
      </c>
      <c r="L13" s="44">
        <v>10240</v>
      </c>
      <c r="M13" s="44">
        <v>1024</v>
      </c>
      <c r="N13" s="45">
        <v>0.8</v>
      </c>
      <c r="O13" s="40" t="str">
        <f>C11</f>
        <v xml:space="preserve">    1.2 Benefits of application development</v>
      </c>
      <c r="P13" s="43">
        <v>43327</v>
      </c>
      <c r="Q13" s="46">
        <v>43333</v>
      </c>
      <c r="R13" s="47"/>
      <c r="S13" s="47"/>
      <c r="T13" s="33"/>
      <c r="U13" s="47"/>
      <c r="V13" s="47"/>
      <c r="W13" s="47"/>
      <c r="X13" s="33" t="s">
        <v>56</v>
      </c>
      <c r="Y13" s="33">
        <v>3</v>
      </c>
      <c r="Z13" s="33"/>
      <c r="AA13" s="33"/>
      <c r="AB13" s="33"/>
      <c r="AC13" s="38"/>
      <c r="AD13" s="38"/>
      <c r="AE13" s="33"/>
      <c r="AF13" s="33"/>
      <c r="AG13" s="33"/>
      <c r="AH13" s="33"/>
      <c r="AI13" s="33"/>
      <c r="AJ13" s="53">
        <v>0.8</v>
      </c>
      <c r="AK13" s="53"/>
      <c r="AL13" s="53"/>
      <c r="AM13" s="53"/>
      <c r="AN13" s="53"/>
      <c r="AO13" s="33"/>
      <c r="AP13" s="33"/>
      <c r="AQ13" s="38"/>
      <c r="AR13" s="38"/>
      <c r="AS13" s="33"/>
      <c r="AT13" s="33"/>
      <c r="AU13" s="33"/>
      <c r="AV13" s="33"/>
      <c r="AW13" s="33"/>
      <c r="AX13" s="38"/>
      <c r="AY13" s="38"/>
      <c r="AZ13" s="33"/>
      <c r="BA13" s="33"/>
      <c r="BB13" s="33"/>
      <c r="BC13" s="33"/>
      <c r="BD13" s="33"/>
      <c r="BE13" s="38"/>
      <c r="BF13" s="38"/>
      <c r="BG13" s="33"/>
    </row>
    <row r="14" spans="2:59" s="35" customFormat="1" ht="30" customHeight="1">
      <c r="B14" s="33">
        <v>9</v>
      </c>
      <c r="C14" s="39" t="s">
        <v>24</v>
      </c>
      <c r="D14" s="40" t="s">
        <v>44</v>
      </c>
      <c r="E14" s="41">
        <v>1</v>
      </c>
      <c r="F14" s="61">
        <v>6</v>
      </c>
      <c r="G14" s="42">
        <v>43328</v>
      </c>
      <c r="H14" s="42">
        <v>43333</v>
      </c>
      <c r="I14" s="43"/>
      <c r="J14" s="43"/>
      <c r="K14" s="33" t="s">
        <v>33</v>
      </c>
      <c r="L14" s="44">
        <v>560</v>
      </c>
      <c r="M14" s="44">
        <v>500</v>
      </c>
      <c r="N14" s="45">
        <v>0.8</v>
      </c>
      <c r="O14" s="40" t="str">
        <f>C13</f>
        <v xml:space="preserve">        1.3.1 Program components</v>
      </c>
      <c r="P14" s="43">
        <v>43334</v>
      </c>
      <c r="Q14" s="46">
        <v>43341</v>
      </c>
      <c r="R14" s="47"/>
      <c r="S14" s="47"/>
      <c r="T14" s="33"/>
      <c r="U14" s="47"/>
      <c r="V14" s="47"/>
      <c r="W14" s="47"/>
      <c r="X14" s="33" t="s">
        <v>56</v>
      </c>
      <c r="Y14" s="33">
        <v>3</v>
      </c>
      <c r="Z14" s="33"/>
      <c r="AA14" s="33"/>
      <c r="AB14" s="33"/>
      <c r="AC14" s="38"/>
      <c r="AD14" s="38"/>
      <c r="AE14" s="33"/>
      <c r="AF14" s="33"/>
      <c r="AG14" s="33"/>
      <c r="AH14" s="33"/>
      <c r="AI14" s="33"/>
      <c r="AJ14" s="38"/>
      <c r="AK14" s="38"/>
      <c r="AL14" s="33"/>
      <c r="AM14" s="33"/>
      <c r="AN14" s="33"/>
      <c r="AO14" s="54">
        <v>0.8</v>
      </c>
      <c r="AP14" s="54"/>
      <c r="AQ14" s="54"/>
      <c r="AR14" s="54"/>
      <c r="AS14" s="54"/>
      <c r="AT14" s="54"/>
      <c r="AU14" s="33"/>
      <c r="AV14" s="33"/>
      <c r="AW14" s="33"/>
      <c r="AX14" s="38"/>
      <c r="AY14" s="38"/>
      <c r="AZ14" s="33"/>
      <c r="BA14" s="33"/>
      <c r="BB14" s="33"/>
      <c r="BC14" s="33"/>
      <c r="BD14" s="33"/>
      <c r="BE14" s="38"/>
      <c r="BF14" s="38"/>
      <c r="BG14" s="33"/>
    </row>
    <row r="15" spans="2:59" s="35" customFormat="1" ht="30" customHeight="1">
      <c r="B15" s="22">
        <v>10</v>
      </c>
      <c r="C15" s="23" t="s">
        <v>25</v>
      </c>
      <c r="D15" s="36"/>
      <c r="E15" s="25"/>
      <c r="F15" s="60">
        <v>13</v>
      </c>
      <c r="G15" s="26">
        <v>43334</v>
      </c>
      <c r="H15" s="26">
        <v>43346</v>
      </c>
      <c r="I15" s="27"/>
      <c r="J15" s="27"/>
      <c r="K15" s="22"/>
      <c r="L15" s="28"/>
      <c r="M15" s="28"/>
      <c r="N15" s="29">
        <v>0.23846153846153847</v>
      </c>
      <c r="O15" s="30"/>
      <c r="P15" s="27">
        <v>43342</v>
      </c>
      <c r="Q15" s="31">
        <v>43360</v>
      </c>
      <c r="R15" s="32"/>
      <c r="S15" s="32"/>
      <c r="T15" s="22"/>
      <c r="U15" s="32"/>
      <c r="V15" s="32"/>
      <c r="W15" s="32"/>
      <c r="X15" s="33" t="s">
        <v>55</v>
      </c>
      <c r="Y15" s="33">
        <v>2</v>
      </c>
      <c r="Z15" s="33"/>
      <c r="AA15" s="33"/>
      <c r="AB15" s="33"/>
      <c r="AC15" s="38"/>
      <c r="AD15" s="38"/>
      <c r="AE15" s="33"/>
      <c r="AF15" s="33"/>
      <c r="AG15" s="33"/>
      <c r="AH15" s="33"/>
      <c r="AI15" s="33"/>
      <c r="AJ15" s="38"/>
      <c r="AK15" s="38"/>
      <c r="AL15" s="33"/>
      <c r="AM15" s="33"/>
      <c r="AN15" s="33"/>
      <c r="AO15" s="33"/>
      <c r="AP15" s="33"/>
      <c r="AQ15" s="38"/>
      <c r="AR15" s="38"/>
      <c r="AS15" s="33"/>
      <c r="AT15" s="33"/>
      <c r="AU15" s="55">
        <v>0.23846153846153847</v>
      </c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</row>
    <row r="16" spans="2:59" s="35" customFormat="1" ht="24" customHeight="1">
      <c r="B16" s="33">
        <v>11</v>
      </c>
      <c r="C16" s="39" t="s">
        <v>26</v>
      </c>
      <c r="D16" s="40" t="s">
        <v>43</v>
      </c>
      <c r="E16" s="41">
        <v>1</v>
      </c>
      <c r="F16" s="61">
        <v>1</v>
      </c>
      <c r="G16" s="42">
        <v>43334</v>
      </c>
      <c r="H16" s="42">
        <v>43334</v>
      </c>
      <c r="I16" s="43"/>
      <c r="J16" s="43"/>
      <c r="K16" s="33" t="s">
        <v>34</v>
      </c>
      <c r="L16" s="44">
        <v>100</v>
      </c>
      <c r="M16" s="44">
        <v>60</v>
      </c>
      <c r="N16" s="45">
        <v>0.6</v>
      </c>
      <c r="O16" s="40" t="str">
        <f>C14</f>
        <v xml:space="preserve">        1.3.2 Object-oriented programming</v>
      </c>
      <c r="P16" s="43">
        <v>43342</v>
      </c>
      <c r="Q16" s="46">
        <v>43342</v>
      </c>
      <c r="R16" s="47"/>
      <c r="S16" s="47"/>
      <c r="T16" s="33"/>
      <c r="U16" s="47"/>
      <c r="V16" s="47"/>
      <c r="W16" s="47"/>
      <c r="X16" s="33" t="s">
        <v>56</v>
      </c>
      <c r="Y16" s="33">
        <v>3</v>
      </c>
      <c r="Z16" s="33"/>
      <c r="AA16" s="33"/>
      <c r="AB16" s="33"/>
      <c r="AC16" s="38"/>
      <c r="AD16" s="38"/>
      <c r="AE16" s="33"/>
      <c r="AF16" s="33"/>
      <c r="AG16" s="33"/>
      <c r="AH16" s="33"/>
      <c r="AI16" s="33"/>
      <c r="AJ16" s="38"/>
      <c r="AK16" s="38"/>
      <c r="AL16" s="33"/>
      <c r="AM16" s="33"/>
      <c r="AN16" s="33"/>
      <c r="AO16" s="33"/>
      <c r="AP16" s="33"/>
      <c r="AQ16" s="38"/>
      <c r="AR16" s="38"/>
      <c r="AS16" s="33"/>
      <c r="AT16" s="33"/>
      <c r="AU16" s="56">
        <v>0.6</v>
      </c>
      <c r="AV16" s="33"/>
      <c r="AW16" s="33"/>
      <c r="AX16" s="38"/>
      <c r="AY16" s="38"/>
      <c r="AZ16" s="33"/>
      <c r="BA16" s="33"/>
      <c r="BB16" s="33"/>
      <c r="BC16" s="33"/>
      <c r="BD16" s="33"/>
      <c r="BE16" s="38"/>
      <c r="BF16" s="38"/>
      <c r="BG16" s="33"/>
    </row>
    <row r="17" spans="2:59" s="35" customFormat="1" ht="24" customHeight="1">
      <c r="B17" s="33">
        <v>12</v>
      </c>
      <c r="C17" s="39" t="s">
        <v>27</v>
      </c>
      <c r="D17" s="40" t="s">
        <v>43</v>
      </c>
      <c r="E17" s="41">
        <v>1</v>
      </c>
      <c r="F17" s="61">
        <v>5</v>
      </c>
      <c r="G17" s="42">
        <v>43335</v>
      </c>
      <c r="H17" s="42">
        <v>43339</v>
      </c>
      <c r="I17" s="43"/>
      <c r="J17" s="43"/>
      <c r="K17" s="33" t="s">
        <v>34</v>
      </c>
      <c r="L17" s="44">
        <v>200</v>
      </c>
      <c r="M17" s="44">
        <v>20</v>
      </c>
      <c r="N17" s="45">
        <v>0.1</v>
      </c>
      <c r="O17" s="40" t="str">
        <f>C16</f>
        <v xml:space="preserve">        1.4.1 Preparation</v>
      </c>
      <c r="P17" s="43">
        <v>43343</v>
      </c>
      <c r="Q17" s="46">
        <v>43349</v>
      </c>
      <c r="R17" s="47"/>
      <c r="S17" s="47"/>
      <c r="T17" s="33"/>
      <c r="U17" s="47"/>
      <c r="V17" s="47"/>
      <c r="W17" s="47"/>
      <c r="X17" s="33" t="s">
        <v>56</v>
      </c>
      <c r="Y17" s="33">
        <v>3</v>
      </c>
      <c r="Z17" s="33"/>
      <c r="AA17" s="33"/>
      <c r="AB17" s="33"/>
      <c r="AC17" s="38"/>
      <c r="AD17" s="38"/>
      <c r="AE17" s="33"/>
      <c r="AF17" s="33"/>
      <c r="AG17" s="33"/>
      <c r="AH17" s="33"/>
      <c r="AI17" s="33"/>
      <c r="AJ17" s="38"/>
      <c r="AK17" s="38"/>
      <c r="AL17" s="33"/>
      <c r="AM17" s="33"/>
      <c r="AN17" s="33"/>
      <c r="AO17" s="33"/>
      <c r="AP17" s="33"/>
      <c r="AQ17" s="38"/>
      <c r="AR17" s="38"/>
      <c r="AS17" s="33"/>
      <c r="AT17" s="33"/>
      <c r="AU17" s="33"/>
      <c r="AV17" s="57">
        <v>0.1</v>
      </c>
      <c r="AW17" s="57"/>
      <c r="AX17" s="57"/>
      <c r="AY17" s="57"/>
      <c r="AZ17" s="57"/>
      <c r="BA17" s="33"/>
      <c r="BB17" s="33"/>
      <c r="BC17" s="33"/>
      <c r="BD17" s="33"/>
      <c r="BE17" s="38"/>
      <c r="BF17" s="38"/>
      <c r="BG17" s="33"/>
    </row>
    <row r="18" spans="2:59" s="35" customFormat="1" ht="24" customHeight="1">
      <c r="B18" s="33">
        <v>13</v>
      </c>
      <c r="C18" s="39" t="s">
        <v>28</v>
      </c>
      <c r="D18" s="40" t="s">
        <v>43</v>
      </c>
      <c r="E18" s="41">
        <v>1</v>
      </c>
      <c r="F18" s="61">
        <v>2</v>
      </c>
      <c r="G18" s="42">
        <v>43340</v>
      </c>
      <c r="H18" s="42">
        <v>43341</v>
      </c>
      <c r="I18" s="43"/>
      <c r="J18" s="43"/>
      <c r="K18" s="33" t="s">
        <v>34</v>
      </c>
      <c r="L18" s="44">
        <v>356</v>
      </c>
      <c r="M18" s="44">
        <v>356</v>
      </c>
      <c r="N18" s="45">
        <v>1</v>
      </c>
      <c r="O18" s="40" t="str">
        <f>C17</f>
        <v xml:space="preserve">        1.4.2 Development</v>
      </c>
      <c r="P18" s="43">
        <v>43350</v>
      </c>
      <c r="Q18" s="46">
        <v>43353</v>
      </c>
      <c r="R18" s="47"/>
      <c r="S18" s="47"/>
      <c r="T18" s="33"/>
      <c r="U18" s="47"/>
      <c r="V18" s="47"/>
      <c r="W18" s="47"/>
      <c r="X18" s="33" t="s">
        <v>56</v>
      </c>
      <c r="Y18" s="33">
        <v>3</v>
      </c>
      <c r="Z18" s="33"/>
      <c r="AA18" s="33"/>
      <c r="AB18" s="33"/>
      <c r="AC18" s="38"/>
      <c r="AD18" s="38"/>
      <c r="AE18" s="33"/>
      <c r="AF18" s="33"/>
      <c r="AG18" s="33"/>
      <c r="AH18" s="33"/>
      <c r="AI18" s="33"/>
      <c r="AJ18" s="38"/>
      <c r="AK18" s="38"/>
      <c r="AL18" s="33"/>
      <c r="AM18" s="33"/>
      <c r="AN18" s="33"/>
      <c r="AO18" s="33"/>
      <c r="AP18" s="33"/>
      <c r="AQ18" s="38"/>
      <c r="AR18" s="38"/>
      <c r="AS18" s="33"/>
      <c r="AT18" s="33"/>
      <c r="AU18" s="33"/>
      <c r="AV18" s="33"/>
      <c r="AW18" s="33"/>
      <c r="AX18" s="38"/>
      <c r="AY18" s="38"/>
      <c r="AZ18" s="33"/>
      <c r="BA18" s="58">
        <v>1</v>
      </c>
      <c r="BB18" s="58"/>
      <c r="BC18" s="33"/>
      <c r="BD18" s="33"/>
      <c r="BE18" s="38"/>
      <c r="BF18" s="38"/>
      <c r="BG18" s="33"/>
    </row>
    <row r="19" spans="2:59" s="35" customFormat="1" ht="24" customHeight="1">
      <c r="B19" s="33">
        <v>14</v>
      </c>
      <c r="C19" s="39" t="s">
        <v>29</v>
      </c>
      <c r="D19" s="40" t="s">
        <v>43</v>
      </c>
      <c r="E19" s="41">
        <v>0.5</v>
      </c>
      <c r="F19" s="61">
        <v>5</v>
      </c>
      <c r="G19" s="42">
        <v>43342</v>
      </c>
      <c r="H19" s="42">
        <v>43346</v>
      </c>
      <c r="I19" s="43"/>
      <c r="J19" s="43"/>
      <c r="K19" s="33"/>
      <c r="L19" s="44"/>
      <c r="M19" s="44"/>
      <c r="N19" s="45">
        <v>0</v>
      </c>
      <c r="O19" s="40" t="str">
        <f>C18</f>
        <v xml:space="preserve">        1.4.3 Testing</v>
      </c>
      <c r="P19" s="43">
        <v>43354</v>
      </c>
      <c r="Q19" s="46">
        <v>43360</v>
      </c>
      <c r="R19" s="47"/>
      <c r="S19" s="47"/>
      <c r="T19" s="33"/>
      <c r="U19" s="47"/>
      <c r="V19" s="47"/>
      <c r="W19" s="47"/>
      <c r="X19" s="33" t="s">
        <v>56</v>
      </c>
      <c r="Y19" s="33">
        <v>3</v>
      </c>
      <c r="Z19" s="33"/>
      <c r="AA19" s="33"/>
      <c r="AB19" s="33"/>
      <c r="AC19" s="38"/>
      <c r="AD19" s="38"/>
      <c r="AE19" s="33"/>
      <c r="AF19" s="33"/>
      <c r="AG19" s="33"/>
      <c r="AH19" s="33"/>
      <c r="AI19" s="33"/>
      <c r="AJ19" s="38"/>
      <c r="AK19" s="38"/>
      <c r="AL19" s="33"/>
      <c r="AM19" s="33"/>
      <c r="AN19" s="33"/>
      <c r="AO19" s="33"/>
      <c r="AP19" s="33"/>
      <c r="AQ19" s="38"/>
      <c r="AR19" s="38"/>
      <c r="AS19" s="33"/>
      <c r="AT19" s="33"/>
      <c r="AU19" s="33"/>
      <c r="AV19" s="33"/>
      <c r="AW19" s="33"/>
      <c r="AX19" s="38"/>
      <c r="AY19" s="38"/>
      <c r="AZ19" s="33"/>
      <c r="BA19" s="33"/>
      <c r="BB19" s="33"/>
      <c r="BC19" s="59">
        <v>0</v>
      </c>
      <c r="BD19" s="59"/>
      <c r="BE19" s="59"/>
      <c r="BF19" s="59"/>
      <c r="BG19" s="59"/>
    </row>
  </sheetData>
  <mergeCells count="15">
    <mergeCell ref="AO14:AT14"/>
    <mergeCell ref="AU15:BG15"/>
    <mergeCell ref="AV17:AZ17"/>
    <mergeCell ref="BA18:BB18"/>
    <mergeCell ref="BC19:BG19"/>
    <mergeCell ref="Z8:AA8"/>
    <mergeCell ref="AC10:AE10"/>
    <mergeCell ref="AF11:AI11"/>
    <mergeCell ref="AJ12:AT12"/>
    <mergeCell ref="AJ13:AN13"/>
    <mergeCell ref="B1:O1"/>
    <mergeCell ref="B2:C2"/>
    <mergeCell ref="E2:O2"/>
    <mergeCell ref="Z6:BG6"/>
    <mergeCell ref="Z7:AE7"/>
  </mergeCells>
  <phoneticPr fontId="1" type="noConversion"/>
  <dataValidations count="2">
    <dataValidation type="list" allowBlank="1" showInputMessage="1" sqref="O6:O1000" xr:uid="{00000000-0002-0000-0000-000000000000}">
      <formula1>$C$6:$C$19</formula1>
    </dataValidation>
    <dataValidation type="list" showErrorMessage="1" errorTitle="Task level" error="Choose a level from 1 to 5." sqref="D2" xr:uid="{00000000-0002-0000-0000-000001000000}">
      <formula1>"1,2,3,4,5"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2A000"/>
  </sheetPr>
  <dimension ref="B2:J207"/>
  <sheetViews>
    <sheetView showGridLines="0" tabSelected="1" zoomScale="80" workbookViewId="0">
      <pane ySplit="13" topLeftCell="A14" activePane="bottomLeft" state="frozen"/>
      <selection pane="bottomLeft" activeCell="D28" sqref="D28"/>
    </sheetView>
  </sheetViews>
  <sheetFormatPr defaultRowHeight="14.25"/>
  <cols>
    <col min="1" max="1" width="3.5" customWidth="1"/>
    <col min="2" max="2" width="12" customWidth="1"/>
    <col min="3" max="3" width="23" customWidth="1"/>
    <col min="4" max="4" width="55.375" customWidth="1"/>
    <col min="5" max="5" width="17" customWidth="1"/>
    <col min="6" max="6" width="30" customWidth="1"/>
    <col min="7" max="7" width="18" customWidth="1"/>
    <col min="8" max="8" width="10" customWidth="1"/>
    <col min="9" max="9" width="12" customWidth="1"/>
    <col min="10" max="10" width="10" customWidth="1"/>
    <col min="11" max="11" width="4" customWidth="1"/>
    <col min="12" max="30" width="12" customWidth="1"/>
  </cols>
  <sheetData>
    <row r="2" spans="2:10" ht="30" customHeight="1">
      <c r="B2" s="19" t="s">
        <v>57</v>
      </c>
      <c r="C2" s="16"/>
      <c r="D2" s="16"/>
      <c r="E2" s="16"/>
      <c r="F2" s="16"/>
      <c r="G2" s="16"/>
      <c r="H2" s="16"/>
      <c r="I2" s="16"/>
      <c r="J2" s="16"/>
    </row>
    <row r="3" spans="2:10" ht="20.100000000000001" customHeight="1">
      <c r="B3" s="20" t="s">
        <v>58</v>
      </c>
      <c r="C3" s="16"/>
      <c r="D3" s="16"/>
      <c r="E3" s="16"/>
      <c r="F3" s="16"/>
      <c r="G3" s="16"/>
      <c r="H3" s="16"/>
      <c r="I3" s="16"/>
      <c r="J3" s="16"/>
    </row>
    <row r="4" spans="2:10">
      <c r="B4" s="16"/>
      <c r="C4" s="16"/>
      <c r="D4" s="16"/>
      <c r="E4" s="16"/>
      <c r="F4" s="16"/>
      <c r="G4" s="16"/>
      <c r="H4" s="16"/>
      <c r="I4" s="16"/>
      <c r="J4" s="16"/>
    </row>
    <row r="5" spans="2:10" ht="32.1" customHeight="1"/>
    <row r="6" spans="2:10" ht="20.100000000000001" customHeight="1">
      <c r="B6" s="2" t="s">
        <v>59</v>
      </c>
      <c r="C6" s="5" t="s">
        <v>60</v>
      </c>
    </row>
    <row r="7" spans="2:10" ht="20.100000000000001" customHeight="1">
      <c r="B7" s="2" t="s">
        <v>61</v>
      </c>
      <c r="C7" s="6">
        <v>1</v>
      </c>
    </row>
    <row r="8" spans="2:10" ht="20.100000000000001" customHeight="1">
      <c r="B8" s="20" t="s">
        <v>62</v>
      </c>
      <c r="C8" s="16"/>
      <c r="D8" s="16"/>
      <c r="E8" s="16"/>
      <c r="F8" s="16"/>
      <c r="G8" s="16"/>
      <c r="H8" s="16"/>
      <c r="I8" s="16"/>
      <c r="J8" s="16"/>
    </row>
    <row r="9" spans="2:10" ht="20.100000000000001" customHeight="1">
      <c r="B9" s="20" t="s">
        <v>63</v>
      </c>
      <c r="C9" s="16"/>
      <c r="D9" s="16"/>
      <c r="E9" s="16"/>
      <c r="F9" s="16"/>
      <c r="G9" s="16"/>
      <c r="H9" s="16"/>
      <c r="I9" s="16"/>
      <c r="J9" s="16"/>
    </row>
    <row r="10" spans="2:10" ht="30" customHeight="1">
      <c r="B10" s="21" t="s">
        <v>75</v>
      </c>
      <c r="C10" s="16"/>
      <c r="D10" s="16"/>
      <c r="E10" s="16"/>
      <c r="F10" s="16"/>
      <c r="G10" s="16"/>
      <c r="H10" s="16"/>
      <c r="I10" s="16"/>
      <c r="J10" s="16"/>
    </row>
    <row r="11" spans="2:10">
      <c r="B11" s="16"/>
      <c r="C11" s="16"/>
      <c r="D11" s="16"/>
      <c r="E11" s="16"/>
      <c r="F11" s="16"/>
      <c r="G11" s="16"/>
      <c r="H11" s="16"/>
      <c r="I11" s="16"/>
      <c r="J11" s="16"/>
    </row>
    <row r="12" spans="2:10">
      <c r="B12" s="16"/>
      <c r="C12" s="16"/>
      <c r="D12" s="16"/>
      <c r="E12" s="16"/>
      <c r="F12" s="16"/>
      <c r="G12" s="16"/>
      <c r="H12" s="16"/>
      <c r="I12" s="16"/>
      <c r="J12" s="16"/>
    </row>
    <row r="13" spans="2:10" ht="27.95" customHeight="1">
      <c r="B13" s="3" t="s">
        <v>64</v>
      </c>
      <c r="C13" s="3" t="s">
        <v>65</v>
      </c>
      <c r="D13" s="3" t="s">
        <v>66</v>
      </c>
      <c r="E13" s="3" t="s">
        <v>67</v>
      </c>
      <c r="F13" s="3" t="s">
        <v>68</v>
      </c>
      <c r="G13" s="3" t="s">
        <v>69</v>
      </c>
      <c r="H13" s="3" t="s">
        <v>70</v>
      </c>
      <c r="I13" s="3" t="s">
        <v>71</v>
      </c>
      <c r="J13" s="3" t="s">
        <v>72</v>
      </c>
    </row>
    <row r="14" spans="2:10" ht="20.100000000000001" customHeight="1">
      <c r="B14" s="5" t="s">
        <v>73</v>
      </c>
      <c r="C14" s="5">
        <f>ROW(WBS!C10)</f>
        <v>10</v>
      </c>
      <c r="D14" s="4" t="str">
        <f>IF(WBS!C10="","",WBS!C10)</f>
        <v xml:space="preserve">        1.1.3 Intuitive interface</v>
      </c>
      <c r="E14" s="62">
        <f>IF(WBS!H10="","",WBS!H10)</f>
        <v>43318</v>
      </c>
      <c r="F14" s="4" t="s">
        <v>74</v>
      </c>
      <c r="G14" s="4" t="str">
        <f>IFERROR(WBS!D10,"")</f>
        <v>A</v>
      </c>
      <c r="H14" s="63">
        <f>IFERROR(WBS!N10,"")</f>
        <v>1</v>
      </c>
      <c r="I14" s="8" t="str">
        <f ca="1">IF(WBS!C10="","",IFERROR(IF(WBS!N10&gt;=1,"Complete",IF(WBS!H10&lt;TODAY(),"Overdue",IF(WBS!G10&gt;TODAY(),"Not started","In progress"))),"Check"))</f>
        <v>Complete</v>
      </c>
      <c r="J14" s="5" t="str">
        <f>IFERROR(WBS!X10,"")</f>
        <v>T</v>
      </c>
    </row>
    <row r="15" spans="2:10" ht="20.100000000000001" customHeight="1">
      <c r="B15" s="5" t="s">
        <v>73</v>
      </c>
      <c r="C15" s="5">
        <f>ROW(WBS!C11)</f>
        <v>11</v>
      </c>
      <c r="D15" s="4" t="str">
        <f>IF(WBS!C11="","",WBS!C11)</f>
        <v xml:space="preserve">    1.2 Benefits of application development</v>
      </c>
      <c r="E15" s="62">
        <f>IF(WBS!H11="","",WBS!H11)</f>
        <v>43322</v>
      </c>
      <c r="F15" s="4" t="s">
        <v>74</v>
      </c>
      <c r="G15" s="4" t="str">
        <f>IFERROR(WBS!D11,"")</f>
        <v>A</v>
      </c>
      <c r="H15" s="63">
        <f>IFERROR(WBS!N11,"")</f>
        <v>1</v>
      </c>
      <c r="I15" s="8" t="str">
        <f ca="1">IF(WBS!C11="","",IFERROR(IF(WBS!N11&gt;=1,"Complete",IF(WBS!H11&lt;TODAY(),"Overdue",IF(WBS!G11&gt;TODAY(),"Not started","In progress"))),"Check"))</f>
        <v>Complete</v>
      </c>
      <c r="J15" s="5" t="str">
        <f>IFERROR(WBS!X11,"")</f>
        <v>T</v>
      </c>
    </row>
    <row r="16" spans="2:10" ht="20.100000000000001" customHeight="1">
      <c r="B16" s="5" t="s">
        <v>73</v>
      </c>
      <c r="C16" s="5">
        <f>ROW(WBS!C12)</f>
        <v>12</v>
      </c>
      <c r="D16" s="4" t="str">
        <f>IF(WBS!C12="","",WBS!C12)</f>
        <v xml:space="preserve">    1.3 Application structure</v>
      </c>
      <c r="E16" s="62">
        <f>IF(WBS!H12="","",WBS!H12)</f>
        <v>43333</v>
      </c>
      <c r="F16" s="4" t="s">
        <v>74</v>
      </c>
      <c r="G16" s="4">
        <f>IFERROR(WBS!D12,"")</f>
        <v>0</v>
      </c>
      <c r="H16" s="63">
        <f>IFERROR(WBS!N12,"")</f>
        <v>0.8</v>
      </c>
      <c r="I16" s="8" t="str">
        <f ca="1">IF(WBS!C12="","",IFERROR(IF(WBS!N12&gt;=1,"Complete",IF(WBS!H12&lt;TODAY(),"Overdue",IF(WBS!G12&gt;TODAY(),"Not started","In progress"))),"Check"))</f>
        <v>Overdue</v>
      </c>
      <c r="J16" s="5" t="str">
        <f>IFERROR(WBS!X12,"")</f>
        <v>P</v>
      </c>
    </row>
    <row r="17" spans="2:10" ht="20.100000000000001" customHeight="1">
      <c r="B17" s="5" t="s">
        <v>73</v>
      </c>
      <c r="C17" s="5">
        <f>ROW(WBS!C13)</f>
        <v>13</v>
      </c>
      <c r="D17" s="4" t="str">
        <f>IF(WBS!C13="","",WBS!C13)</f>
        <v xml:space="preserve">        1.3.1 Program components</v>
      </c>
      <c r="E17" s="62">
        <f>IF(WBS!H13="","",WBS!H13)</f>
        <v>43327</v>
      </c>
      <c r="F17" s="4" t="s">
        <v>74</v>
      </c>
      <c r="G17" s="4" t="str">
        <f>IFERROR(WBS!D13,"")</f>
        <v>C</v>
      </c>
      <c r="H17" s="63">
        <f>IFERROR(WBS!N13,"")</f>
        <v>0.8</v>
      </c>
      <c r="I17" s="8" t="str">
        <f ca="1">IF(WBS!C13="","",IFERROR(IF(WBS!N13&gt;=1,"Complete",IF(WBS!H13&lt;TODAY(),"Overdue",IF(WBS!G13&gt;TODAY(),"Not started","In progress"))),"Check"))</f>
        <v>Overdue</v>
      </c>
      <c r="J17" s="5" t="str">
        <f>IFERROR(WBS!X13,"")</f>
        <v>T</v>
      </c>
    </row>
    <row r="18" spans="2:10" ht="20.100000000000001" customHeight="1">
      <c r="B18" s="5" t="s">
        <v>73</v>
      </c>
      <c r="C18" s="5">
        <f>ROW(WBS!C14)</f>
        <v>14</v>
      </c>
      <c r="D18" s="4" t="str">
        <f>IF(WBS!C14="","",WBS!C14)</f>
        <v xml:space="preserve">        1.3.2 Object-oriented programming</v>
      </c>
      <c r="E18" s="62">
        <f>IF(WBS!H14="","",WBS!H14)</f>
        <v>43333</v>
      </c>
      <c r="F18" s="4" t="s">
        <v>74</v>
      </c>
      <c r="G18" s="4" t="str">
        <f>IFERROR(WBS!D14,"")</f>
        <v>C</v>
      </c>
      <c r="H18" s="63">
        <f>IFERROR(WBS!N14,"")</f>
        <v>0.8</v>
      </c>
      <c r="I18" s="8" t="str">
        <f ca="1">IF(WBS!C14="","",IFERROR(IF(WBS!N14&gt;=1,"Complete",IF(WBS!H14&lt;TODAY(),"Overdue",IF(WBS!G14&gt;TODAY(),"Not started","In progress"))),"Check"))</f>
        <v>Overdue</v>
      </c>
      <c r="J18" s="5" t="str">
        <f>IFERROR(WBS!X14,"")</f>
        <v>T</v>
      </c>
    </row>
    <row r="19" spans="2:10" ht="20.100000000000001" customHeight="1">
      <c r="B19" s="5" t="s">
        <v>73</v>
      </c>
      <c r="C19" s="5">
        <f>ROW(WBS!C15)</f>
        <v>15</v>
      </c>
      <c r="D19" s="4" t="str">
        <f>IF(WBS!C15="","",WBS!C15)</f>
        <v xml:space="preserve">    1.4 Application development process</v>
      </c>
      <c r="E19" s="62">
        <f>IF(WBS!H15="","",WBS!H15)</f>
        <v>43346</v>
      </c>
      <c r="F19" s="4" t="s">
        <v>74</v>
      </c>
      <c r="G19" s="4">
        <f>IFERROR(WBS!D15,"")</f>
        <v>0</v>
      </c>
      <c r="H19" s="63">
        <f>IFERROR(WBS!N15,"")</f>
        <v>0.23846153846153847</v>
      </c>
      <c r="I19" s="8" t="str">
        <f ca="1">IF(WBS!C15="","",IFERROR(IF(WBS!N15&gt;=1,"Complete",IF(WBS!H15&lt;TODAY(),"Overdue",IF(WBS!G15&gt;TODAY(),"Not started","In progress"))),"Check"))</f>
        <v>Overdue</v>
      </c>
      <c r="J19" s="5" t="str">
        <f>IFERROR(WBS!X15,"")</f>
        <v>P</v>
      </c>
    </row>
    <row r="20" spans="2:10" ht="20.100000000000001" customHeight="1">
      <c r="B20" s="5"/>
      <c r="C20" s="5"/>
      <c r="D20" s="4"/>
      <c r="E20" s="7"/>
      <c r="F20" s="4"/>
      <c r="G20" s="4"/>
      <c r="H20" s="5"/>
      <c r="I20" s="8"/>
      <c r="J20" s="5"/>
    </row>
    <row r="21" spans="2:10" ht="20.100000000000001" customHeight="1">
      <c r="B21" s="5"/>
      <c r="C21" s="5"/>
      <c r="D21" s="4"/>
      <c r="E21" s="7"/>
      <c r="F21" s="4"/>
      <c r="G21" s="4"/>
      <c r="H21" s="5"/>
      <c r="I21" s="8"/>
      <c r="J21" s="5"/>
    </row>
    <row r="22" spans="2:10" ht="20.100000000000001" customHeight="1">
      <c r="B22" s="5"/>
      <c r="C22" s="5"/>
      <c r="D22" s="4"/>
      <c r="E22" s="7"/>
      <c r="F22" s="4"/>
      <c r="G22" s="4"/>
      <c r="H22" s="5"/>
      <c r="I22" s="8"/>
      <c r="J22" s="5"/>
    </row>
    <row r="23" spans="2:10" ht="20.100000000000001" customHeight="1">
      <c r="B23" s="5"/>
      <c r="C23" s="5"/>
      <c r="D23" s="4"/>
      <c r="E23" s="7"/>
      <c r="F23" s="4"/>
      <c r="G23" s="4"/>
      <c r="H23" s="5"/>
      <c r="I23" s="8"/>
      <c r="J23" s="5"/>
    </row>
    <row r="24" spans="2:10" ht="20.100000000000001" customHeight="1">
      <c r="B24" s="5"/>
      <c r="C24" s="5"/>
      <c r="D24" s="4"/>
      <c r="E24" s="7"/>
      <c r="F24" s="4"/>
      <c r="G24" s="4"/>
      <c r="H24" s="5"/>
      <c r="I24" s="8"/>
      <c r="J24" s="5"/>
    </row>
    <row r="25" spans="2:10" ht="20.100000000000001" customHeight="1">
      <c r="B25" s="5"/>
      <c r="C25" s="5"/>
      <c r="D25" s="4"/>
      <c r="E25" s="7"/>
      <c r="F25" s="4"/>
      <c r="G25" s="4"/>
      <c r="H25" s="5"/>
      <c r="I25" s="8"/>
      <c r="J25" s="5"/>
    </row>
    <row r="26" spans="2:10" ht="20.100000000000001" customHeight="1">
      <c r="B26" s="5"/>
      <c r="C26" s="5"/>
      <c r="D26" s="4"/>
      <c r="E26" s="7"/>
      <c r="F26" s="4"/>
      <c r="G26" s="4"/>
      <c r="H26" s="5"/>
      <c r="I26" s="8"/>
      <c r="J26" s="5"/>
    </row>
    <row r="27" spans="2:10" ht="20.100000000000001" customHeight="1">
      <c r="B27" s="5"/>
      <c r="C27" s="5"/>
      <c r="D27" s="4"/>
      <c r="E27" s="7"/>
      <c r="F27" s="4"/>
      <c r="G27" s="4"/>
      <c r="H27" s="5"/>
      <c r="I27" s="8"/>
      <c r="J27" s="5"/>
    </row>
    <row r="28" spans="2:10" ht="20.100000000000001" customHeight="1">
      <c r="B28" s="5"/>
      <c r="C28" s="5"/>
      <c r="D28" s="4"/>
      <c r="E28" s="7"/>
      <c r="F28" s="4"/>
      <c r="G28" s="4"/>
      <c r="H28" s="5"/>
      <c r="I28" s="8"/>
      <c r="J28" s="5"/>
    </row>
    <row r="29" spans="2:10" ht="20.100000000000001" customHeight="1">
      <c r="B29" s="5"/>
      <c r="C29" s="5"/>
      <c r="D29" s="4"/>
      <c r="E29" s="7"/>
      <c r="F29" s="4"/>
      <c r="G29" s="4"/>
      <c r="H29" s="5"/>
      <c r="I29" s="8"/>
      <c r="J29" s="5"/>
    </row>
    <row r="30" spans="2:10" ht="20.100000000000001" customHeight="1">
      <c r="B30" s="5"/>
      <c r="C30" s="5"/>
      <c r="D30" s="4"/>
      <c r="E30" s="7"/>
      <c r="F30" s="4"/>
      <c r="G30" s="4"/>
      <c r="H30" s="5"/>
      <c r="I30" s="8"/>
      <c r="J30" s="5"/>
    </row>
    <row r="31" spans="2:10" ht="20.100000000000001" customHeight="1">
      <c r="B31" s="5"/>
      <c r="C31" s="5"/>
      <c r="D31" s="4"/>
      <c r="E31" s="7"/>
      <c r="F31" s="4"/>
      <c r="G31" s="4"/>
      <c r="H31" s="5"/>
      <c r="I31" s="8"/>
      <c r="J31" s="5"/>
    </row>
    <row r="32" spans="2:10" ht="20.100000000000001" customHeight="1">
      <c r="B32" s="5"/>
      <c r="C32" s="5"/>
      <c r="D32" s="4"/>
      <c r="E32" s="7"/>
      <c r="F32" s="4"/>
      <c r="G32" s="4"/>
      <c r="H32" s="5"/>
      <c r="I32" s="8"/>
      <c r="J32" s="5"/>
    </row>
    <row r="33" spans="2:10" ht="20.100000000000001" customHeight="1">
      <c r="B33" s="5"/>
      <c r="C33" s="5"/>
      <c r="D33" s="4"/>
      <c r="E33" s="7"/>
      <c r="F33" s="4"/>
      <c r="G33" s="4"/>
      <c r="H33" s="5"/>
      <c r="I33" s="8"/>
      <c r="J33" s="5"/>
    </row>
    <row r="34" spans="2:10" ht="20.100000000000001" customHeight="1">
      <c r="B34" s="5"/>
      <c r="C34" s="5"/>
      <c r="D34" s="4"/>
      <c r="E34" s="7"/>
      <c r="F34" s="4"/>
      <c r="G34" s="4"/>
      <c r="H34" s="5"/>
      <c r="I34" s="8"/>
      <c r="J34" s="5"/>
    </row>
    <row r="35" spans="2:10" ht="20.100000000000001" customHeight="1">
      <c r="B35" s="5"/>
      <c r="C35" s="5"/>
      <c r="D35" s="4"/>
      <c r="E35" s="7"/>
      <c r="F35" s="4"/>
      <c r="G35" s="4"/>
      <c r="H35" s="5"/>
      <c r="I35" s="8"/>
      <c r="J35" s="5"/>
    </row>
    <row r="36" spans="2:10" ht="20.100000000000001" customHeight="1">
      <c r="B36" s="5"/>
      <c r="C36" s="5"/>
      <c r="D36" s="4"/>
      <c r="E36" s="7"/>
      <c r="F36" s="4"/>
      <c r="G36" s="4"/>
      <c r="H36" s="5"/>
      <c r="I36" s="8"/>
      <c r="J36" s="5"/>
    </row>
    <row r="37" spans="2:10" ht="20.100000000000001" customHeight="1">
      <c r="B37" s="5"/>
      <c r="C37" s="5"/>
      <c r="D37" s="4"/>
      <c r="E37" s="7"/>
      <c r="F37" s="4"/>
      <c r="G37" s="4"/>
      <c r="H37" s="5"/>
      <c r="I37" s="8"/>
      <c r="J37" s="5"/>
    </row>
    <row r="38" spans="2:10" ht="20.100000000000001" customHeight="1">
      <c r="B38" s="5"/>
      <c r="C38" s="5"/>
      <c r="D38" s="4"/>
      <c r="E38" s="7"/>
      <c r="F38" s="4"/>
      <c r="G38" s="4"/>
      <c r="H38" s="5"/>
      <c r="I38" s="8"/>
      <c r="J38" s="5"/>
    </row>
    <row r="39" spans="2:10" ht="20.100000000000001" customHeight="1">
      <c r="B39" s="5"/>
      <c r="C39" s="5"/>
      <c r="D39" s="4"/>
      <c r="E39" s="7"/>
      <c r="F39" s="4"/>
      <c r="G39" s="4"/>
      <c r="H39" s="5"/>
      <c r="I39" s="8"/>
      <c r="J39" s="5"/>
    </row>
    <row r="40" spans="2:10" ht="20.100000000000001" customHeight="1">
      <c r="B40" s="5"/>
      <c r="C40" s="5"/>
      <c r="D40" s="4"/>
      <c r="E40" s="7"/>
      <c r="F40" s="4"/>
      <c r="G40" s="4"/>
      <c r="H40" s="5"/>
      <c r="I40" s="8"/>
      <c r="J40" s="5"/>
    </row>
    <row r="41" spans="2:10" ht="20.100000000000001" customHeight="1">
      <c r="B41" s="5"/>
      <c r="C41" s="5"/>
      <c r="D41" s="4"/>
      <c r="E41" s="7"/>
      <c r="F41" s="4"/>
      <c r="G41" s="4"/>
      <c r="H41" s="5"/>
      <c r="I41" s="8"/>
      <c r="J41" s="5"/>
    </row>
    <row r="42" spans="2:10" ht="20.100000000000001" customHeight="1">
      <c r="B42" s="5"/>
      <c r="C42" s="5"/>
      <c r="D42" s="4"/>
      <c r="E42" s="7"/>
      <c r="F42" s="4"/>
      <c r="G42" s="4"/>
      <c r="H42" s="5"/>
      <c r="I42" s="8"/>
      <c r="J42" s="5"/>
    </row>
    <row r="43" spans="2:10" ht="20.100000000000001" customHeight="1">
      <c r="B43" s="5"/>
      <c r="C43" s="5"/>
      <c r="D43" s="4"/>
      <c r="E43" s="7"/>
      <c r="F43" s="4"/>
      <c r="G43" s="4"/>
      <c r="H43" s="5"/>
      <c r="I43" s="8"/>
      <c r="J43" s="5"/>
    </row>
    <row r="44" spans="2:10" ht="20.100000000000001" customHeight="1">
      <c r="B44" s="5"/>
      <c r="C44" s="5"/>
      <c r="D44" s="4"/>
      <c r="E44" s="7"/>
      <c r="F44" s="4"/>
      <c r="G44" s="4"/>
      <c r="H44" s="5"/>
      <c r="I44" s="8"/>
      <c r="J44" s="5"/>
    </row>
    <row r="45" spans="2:10" ht="20.100000000000001" customHeight="1">
      <c r="B45" s="5"/>
      <c r="C45" s="5"/>
      <c r="D45" s="4"/>
      <c r="E45" s="7"/>
      <c r="F45" s="4"/>
      <c r="G45" s="4"/>
      <c r="H45" s="5"/>
      <c r="I45" s="8"/>
      <c r="J45" s="5"/>
    </row>
    <row r="46" spans="2:10" ht="20.100000000000001" customHeight="1">
      <c r="B46" s="5"/>
      <c r="C46" s="5"/>
      <c r="D46" s="4"/>
      <c r="E46" s="7"/>
      <c r="F46" s="4"/>
      <c r="G46" s="4"/>
      <c r="H46" s="5"/>
      <c r="I46" s="8"/>
      <c r="J46" s="5"/>
    </row>
    <row r="47" spans="2:10" ht="20.100000000000001" customHeight="1">
      <c r="B47" s="5"/>
      <c r="C47" s="5"/>
      <c r="D47" s="4"/>
      <c r="E47" s="7"/>
      <c r="F47" s="4"/>
      <c r="G47" s="4"/>
      <c r="H47" s="5"/>
      <c r="I47" s="8"/>
      <c r="J47" s="5"/>
    </row>
    <row r="48" spans="2:10" ht="20.100000000000001" customHeight="1">
      <c r="B48" s="5"/>
      <c r="C48" s="5"/>
      <c r="D48" s="4"/>
      <c r="E48" s="7"/>
      <c r="F48" s="4"/>
      <c r="G48" s="4"/>
      <c r="H48" s="5"/>
      <c r="I48" s="8"/>
      <c r="J48" s="5"/>
    </row>
    <row r="49" spans="2:10" ht="20.100000000000001" customHeight="1">
      <c r="B49" s="5"/>
      <c r="C49" s="5"/>
      <c r="D49" s="4"/>
      <c r="E49" s="7"/>
      <c r="F49" s="4"/>
      <c r="G49" s="4"/>
      <c r="H49" s="5"/>
      <c r="I49" s="8"/>
      <c r="J49" s="5"/>
    </row>
    <row r="50" spans="2:10" ht="20.100000000000001" customHeight="1">
      <c r="B50" s="5"/>
      <c r="C50" s="5"/>
      <c r="D50" s="4"/>
      <c r="E50" s="7"/>
      <c r="F50" s="4"/>
      <c r="G50" s="4"/>
      <c r="H50" s="5"/>
      <c r="I50" s="8"/>
      <c r="J50" s="5"/>
    </row>
    <row r="51" spans="2:10" ht="20.100000000000001" customHeight="1">
      <c r="B51" s="5"/>
      <c r="C51" s="5"/>
      <c r="D51" s="4"/>
      <c r="E51" s="7"/>
      <c r="F51" s="4"/>
      <c r="G51" s="4"/>
      <c r="H51" s="5"/>
      <c r="I51" s="8"/>
      <c r="J51" s="5"/>
    </row>
    <row r="52" spans="2:10" ht="20.100000000000001" customHeight="1">
      <c r="B52" s="5"/>
      <c r="C52" s="5"/>
      <c r="D52" s="4"/>
      <c r="E52" s="7"/>
      <c r="F52" s="4"/>
      <c r="G52" s="4"/>
      <c r="H52" s="5"/>
      <c r="I52" s="8"/>
      <c r="J52" s="5"/>
    </row>
    <row r="53" spans="2:10" ht="20.100000000000001" customHeight="1">
      <c r="B53" s="5"/>
      <c r="C53" s="5"/>
      <c r="D53" s="4"/>
      <c r="E53" s="7"/>
      <c r="F53" s="4"/>
      <c r="G53" s="4"/>
      <c r="H53" s="5"/>
      <c r="I53" s="8"/>
      <c r="J53" s="5"/>
    </row>
    <row r="54" spans="2:10" ht="20.100000000000001" customHeight="1">
      <c r="B54" s="5"/>
      <c r="C54" s="5"/>
      <c r="D54" s="4"/>
      <c r="E54" s="7"/>
      <c r="F54" s="4"/>
      <c r="G54" s="4"/>
      <c r="H54" s="5"/>
      <c r="I54" s="8"/>
      <c r="J54" s="5"/>
    </row>
    <row r="55" spans="2:10" ht="20.100000000000001" customHeight="1">
      <c r="B55" s="5"/>
      <c r="C55" s="5"/>
      <c r="D55" s="4"/>
      <c r="E55" s="7"/>
      <c r="F55" s="4"/>
      <c r="G55" s="4"/>
      <c r="H55" s="5"/>
      <c r="I55" s="8"/>
      <c r="J55" s="5"/>
    </row>
    <row r="56" spans="2:10" ht="20.100000000000001" customHeight="1">
      <c r="B56" s="5"/>
      <c r="C56" s="5"/>
      <c r="D56" s="4"/>
      <c r="E56" s="7"/>
      <c r="F56" s="4"/>
      <c r="G56" s="4"/>
      <c r="H56" s="5"/>
      <c r="I56" s="8"/>
      <c r="J56" s="5"/>
    </row>
    <row r="57" spans="2:10" ht="20.100000000000001" customHeight="1">
      <c r="B57" s="5"/>
      <c r="C57" s="5"/>
      <c r="D57" s="4"/>
      <c r="E57" s="7"/>
      <c r="F57" s="4"/>
      <c r="G57" s="4"/>
      <c r="H57" s="5"/>
      <c r="I57" s="8"/>
      <c r="J57" s="5"/>
    </row>
    <row r="58" spans="2:10" ht="20.100000000000001" customHeight="1">
      <c r="B58" s="5"/>
      <c r="C58" s="5"/>
      <c r="D58" s="4"/>
      <c r="E58" s="7"/>
      <c r="F58" s="4"/>
      <c r="G58" s="4"/>
      <c r="H58" s="5"/>
      <c r="I58" s="8"/>
      <c r="J58" s="5"/>
    </row>
    <row r="59" spans="2:10" ht="20.100000000000001" customHeight="1">
      <c r="B59" s="5"/>
      <c r="C59" s="5"/>
      <c r="D59" s="4"/>
      <c r="E59" s="7"/>
      <c r="F59" s="4"/>
      <c r="G59" s="4"/>
      <c r="H59" s="5"/>
      <c r="I59" s="8"/>
      <c r="J59" s="5"/>
    </row>
    <row r="60" spans="2:10" ht="20.100000000000001" customHeight="1">
      <c r="B60" s="5"/>
      <c r="C60" s="5"/>
      <c r="D60" s="4"/>
      <c r="E60" s="7"/>
      <c r="F60" s="4"/>
      <c r="G60" s="4"/>
      <c r="H60" s="5"/>
      <c r="I60" s="8"/>
      <c r="J60" s="5"/>
    </row>
    <row r="61" spans="2:10" ht="20.100000000000001" customHeight="1">
      <c r="B61" s="5"/>
      <c r="C61" s="5"/>
      <c r="D61" s="4"/>
      <c r="E61" s="7"/>
      <c r="F61" s="4"/>
      <c r="G61" s="4"/>
      <c r="H61" s="5"/>
      <c r="I61" s="8"/>
      <c r="J61" s="5"/>
    </row>
    <row r="62" spans="2:10" ht="20.100000000000001" customHeight="1">
      <c r="B62" s="5"/>
      <c r="C62" s="5"/>
      <c r="D62" s="4"/>
      <c r="E62" s="7"/>
      <c r="F62" s="4"/>
      <c r="G62" s="4"/>
      <c r="H62" s="5"/>
      <c r="I62" s="8"/>
      <c r="J62" s="5"/>
    </row>
    <row r="63" spans="2:10" ht="20.100000000000001" customHeight="1">
      <c r="B63" s="5"/>
      <c r="C63" s="5"/>
      <c r="D63" s="4"/>
      <c r="E63" s="7"/>
      <c r="F63" s="4"/>
      <c r="G63" s="4"/>
      <c r="H63" s="5"/>
      <c r="I63" s="8"/>
      <c r="J63" s="5"/>
    </row>
    <row r="64" spans="2:10" ht="20.100000000000001" customHeight="1">
      <c r="B64" s="5"/>
      <c r="C64" s="5"/>
      <c r="D64" s="4"/>
      <c r="E64" s="7"/>
      <c r="F64" s="4"/>
      <c r="G64" s="4"/>
      <c r="H64" s="5"/>
      <c r="I64" s="8"/>
      <c r="J64" s="5"/>
    </row>
    <row r="65" spans="2:10" ht="20.100000000000001" customHeight="1">
      <c r="B65" s="5"/>
      <c r="C65" s="5"/>
      <c r="D65" s="4"/>
      <c r="E65" s="7"/>
      <c r="F65" s="4"/>
      <c r="G65" s="4"/>
      <c r="H65" s="5"/>
      <c r="I65" s="8"/>
      <c r="J65" s="5"/>
    </row>
    <row r="66" spans="2:10" ht="20.100000000000001" customHeight="1">
      <c r="B66" s="5"/>
      <c r="C66" s="5"/>
      <c r="D66" s="4"/>
      <c r="E66" s="7"/>
      <c r="F66" s="4"/>
      <c r="G66" s="4"/>
      <c r="H66" s="5"/>
      <c r="I66" s="8"/>
      <c r="J66" s="5"/>
    </row>
    <row r="67" spans="2:10" ht="20.100000000000001" customHeight="1">
      <c r="B67" s="5"/>
      <c r="C67" s="5"/>
      <c r="D67" s="4"/>
      <c r="E67" s="7"/>
      <c r="F67" s="4"/>
      <c r="G67" s="4"/>
      <c r="H67" s="5"/>
      <c r="I67" s="8"/>
      <c r="J67" s="5"/>
    </row>
    <row r="68" spans="2:10" ht="20.100000000000001" customHeight="1">
      <c r="B68" s="5"/>
      <c r="C68" s="5"/>
      <c r="D68" s="4"/>
      <c r="E68" s="7"/>
      <c r="F68" s="4"/>
      <c r="G68" s="4"/>
      <c r="H68" s="5"/>
      <c r="I68" s="8"/>
      <c r="J68" s="5"/>
    </row>
    <row r="69" spans="2:10" ht="20.100000000000001" customHeight="1">
      <c r="B69" s="5"/>
      <c r="C69" s="5"/>
      <c r="D69" s="4"/>
      <c r="E69" s="7"/>
      <c r="F69" s="4"/>
      <c r="G69" s="4"/>
      <c r="H69" s="5"/>
      <c r="I69" s="8"/>
      <c r="J69" s="5"/>
    </row>
    <row r="70" spans="2:10" ht="20.100000000000001" customHeight="1">
      <c r="B70" s="5"/>
      <c r="C70" s="5"/>
      <c r="D70" s="4"/>
      <c r="E70" s="7"/>
      <c r="F70" s="4"/>
      <c r="G70" s="4"/>
      <c r="H70" s="5"/>
      <c r="I70" s="8"/>
      <c r="J70" s="5"/>
    </row>
    <row r="71" spans="2:10" ht="20.100000000000001" customHeight="1">
      <c r="B71" s="5"/>
      <c r="C71" s="5"/>
      <c r="D71" s="4"/>
      <c r="E71" s="7"/>
      <c r="F71" s="4"/>
      <c r="G71" s="4"/>
      <c r="H71" s="5"/>
      <c r="I71" s="8"/>
      <c r="J71" s="5"/>
    </row>
    <row r="72" spans="2:10" ht="20.100000000000001" customHeight="1">
      <c r="B72" s="5"/>
      <c r="C72" s="5"/>
      <c r="D72" s="4"/>
      <c r="E72" s="7"/>
      <c r="F72" s="4"/>
      <c r="G72" s="4"/>
      <c r="H72" s="5"/>
      <c r="I72" s="8"/>
      <c r="J72" s="5"/>
    </row>
    <row r="73" spans="2:10" ht="20.100000000000001" customHeight="1">
      <c r="B73" s="5"/>
      <c r="C73" s="5"/>
      <c r="D73" s="4"/>
      <c r="E73" s="7"/>
      <c r="F73" s="4"/>
      <c r="G73" s="4"/>
      <c r="H73" s="5"/>
      <c r="I73" s="8"/>
      <c r="J73" s="5"/>
    </row>
    <row r="74" spans="2:10" ht="20.100000000000001" customHeight="1">
      <c r="B74" s="5"/>
      <c r="C74" s="5"/>
      <c r="D74" s="4"/>
      <c r="E74" s="7"/>
      <c r="F74" s="4"/>
      <c r="G74" s="4"/>
      <c r="H74" s="5"/>
      <c r="I74" s="8"/>
      <c r="J74" s="5"/>
    </row>
    <row r="75" spans="2:10" ht="20.100000000000001" customHeight="1">
      <c r="B75" s="5"/>
      <c r="C75" s="5"/>
      <c r="D75" s="4"/>
      <c r="E75" s="7"/>
      <c r="F75" s="4"/>
      <c r="G75" s="4"/>
      <c r="H75" s="5"/>
      <c r="I75" s="8"/>
      <c r="J75" s="5"/>
    </row>
    <row r="76" spans="2:10" ht="20.100000000000001" customHeight="1">
      <c r="B76" s="5"/>
      <c r="C76" s="5"/>
      <c r="D76" s="4"/>
      <c r="E76" s="7"/>
      <c r="F76" s="4"/>
      <c r="G76" s="4"/>
      <c r="H76" s="5"/>
      <c r="I76" s="8"/>
      <c r="J76" s="5"/>
    </row>
    <row r="77" spans="2:10" ht="20.100000000000001" customHeight="1">
      <c r="B77" s="5"/>
      <c r="C77" s="5"/>
      <c r="D77" s="4"/>
      <c r="E77" s="7"/>
      <c r="F77" s="4"/>
      <c r="G77" s="4"/>
      <c r="H77" s="5"/>
      <c r="I77" s="8"/>
      <c r="J77" s="5"/>
    </row>
    <row r="78" spans="2:10" ht="20.100000000000001" customHeight="1">
      <c r="B78" s="5"/>
      <c r="C78" s="5"/>
      <c r="D78" s="4"/>
      <c r="E78" s="7"/>
      <c r="F78" s="4"/>
      <c r="G78" s="4"/>
      <c r="H78" s="5"/>
      <c r="I78" s="8"/>
      <c r="J78" s="5"/>
    </row>
    <row r="79" spans="2:10" ht="20.100000000000001" customHeight="1">
      <c r="B79" s="5"/>
      <c r="C79" s="5"/>
      <c r="D79" s="4"/>
      <c r="E79" s="7"/>
      <c r="F79" s="4"/>
      <c r="G79" s="4"/>
      <c r="H79" s="5"/>
      <c r="I79" s="8"/>
      <c r="J79" s="5"/>
    </row>
    <row r="80" spans="2:10" ht="20.100000000000001" customHeight="1">
      <c r="B80" s="5"/>
      <c r="C80" s="5"/>
      <c r="D80" s="4"/>
      <c r="E80" s="7"/>
      <c r="F80" s="4"/>
      <c r="G80" s="4"/>
      <c r="H80" s="5"/>
      <c r="I80" s="8"/>
      <c r="J80" s="5"/>
    </row>
    <row r="81" spans="2:10" ht="20.100000000000001" customHeight="1">
      <c r="B81" s="5"/>
      <c r="C81" s="5"/>
      <c r="D81" s="4"/>
      <c r="E81" s="7"/>
      <c r="F81" s="4"/>
      <c r="G81" s="4"/>
      <c r="H81" s="5"/>
      <c r="I81" s="8"/>
      <c r="J81" s="5"/>
    </row>
    <row r="82" spans="2:10" ht="20.100000000000001" customHeight="1">
      <c r="B82" s="5"/>
      <c r="C82" s="5"/>
      <c r="D82" s="4"/>
      <c r="E82" s="7"/>
      <c r="F82" s="4"/>
      <c r="G82" s="4"/>
      <c r="H82" s="5"/>
      <c r="I82" s="8"/>
      <c r="J82" s="5"/>
    </row>
    <row r="83" spans="2:10" ht="20.100000000000001" customHeight="1">
      <c r="B83" s="5"/>
      <c r="C83" s="5"/>
      <c r="D83" s="4"/>
      <c r="E83" s="7"/>
      <c r="F83" s="4"/>
      <c r="G83" s="4"/>
      <c r="H83" s="5"/>
      <c r="I83" s="8"/>
      <c r="J83" s="5"/>
    </row>
    <row r="84" spans="2:10" ht="20.100000000000001" customHeight="1">
      <c r="B84" s="5"/>
      <c r="C84" s="5"/>
      <c r="D84" s="4"/>
      <c r="E84" s="7"/>
      <c r="F84" s="4"/>
      <c r="G84" s="4"/>
      <c r="H84" s="5"/>
      <c r="I84" s="8"/>
      <c r="J84" s="5"/>
    </row>
    <row r="85" spans="2:10" ht="20.100000000000001" customHeight="1">
      <c r="B85" s="5"/>
      <c r="C85" s="5"/>
      <c r="D85" s="4"/>
      <c r="E85" s="7"/>
      <c r="F85" s="4"/>
      <c r="G85" s="4"/>
      <c r="H85" s="5"/>
      <c r="I85" s="8"/>
      <c r="J85" s="5"/>
    </row>
    <row r="86" spans="2:10" ht="20.100000000000001" customHeight="1">
      <c r="B86" s="5"/>
      <c r="C86" s="5"/>
      <c r="D86" s="4"/>
      <c r="E86" s="7"/>
      <c r="F86" s="4"/>
      <c r="G86" s="4"/>
      <c r="H86" s="5"/>
      <c r="I86" s="8"/>
      <c r="J86" s="5"/>
    </row>
    <row r="87" spans="2:10" ht="20.100000000000001" customHeight="1">
      <c r="B87" s="5"/>
      <c r="C87" s="5"/>
      <c r="D87" s="4"/>
      <c r="E87" s="7"/>
      <c r="F87" s="4"/>
      <c r="G87" s="4"/>
      <c r="H87" s="5"/>
      <c r="I87" s="8"/>
      <c r="J87" s="5"/>
    </row>
    <row r="88" spans="2:10" ht="20.100000000000001" customHeight="1">
      <c r="B88" s="5"/>
      <c r="C88" s="5"/>
      <c r="D88" s="4"/>
      <c r="E88" s="7"/>
      <c r="F88" s="4"/>
      <c r="G88" s="4"/>
      <c r="H88" s="5"/>
      <c r="I88" s="8"/>
      <c r="J88" s="5"/>
    </row>
    <row r="89" spans="2:10" ht="20.100000000000001" customHeight="1">
      <c r="B89" s="5"/>
      <c r="C89" s="5"/>
      <c r="D89" s="4"/>
      <c r="E89" s="7"/>
      <c r="F89" s="4"/>
      <c r="G89" s="4"/>
      <c r="H89" s="5"/>
      <c r="I89" s="8"/>
      <c r="J89" s="5"/>
    </row>
    <row r="90" spans="2:10" ht="20.100000000000001" customHeight="1">
      <c r="B90" s="5"/>
      <c r="C90" s="5"/>
      <c r="D90" s="4"/>
      <c r="E90" s="7"/>
      <c r="F90" s="4"/>
      <c r="G90" s="4"/>
      <c r="H90" s="5"/>
      <c r="I90" s="8"/>
      <c r="J90" s="5"/>
    </row>
    <row r="91" spans="2:10" ht="20.100000000000001" customHeight="1">
      <c r="B91" s="5"/>
      <c r="C91" s="5"/>
      <c r="D91" s="4"/>
      <c r="E91" s="7"/>
      <c r="F91" s="4"/>
      <c r="G91" s="4"/>
      <c r="H91" s="5"/>
      <c r="I91" s="8"/>
      <c r="J91" s="5"/>
    </row>
    <row r="92" spans="2:10" ht="20.100000000000001" customHeight="1">
      <c r="B92" s="5"/>
      <c r="C92" s="5"/>
      <c r="D92" s="4"/>
      <c r="E92" s="7"/>
      <c r="F92" s="4"/>
      <c r="G92" s="4"/>
      <c r="H92" s="5"/>
      <c r="I92" s="8"/>
      <c r="J92" s="5"/>
    </row>
    <row r="93" spans="2:10" ht="20.100000000000001" customHeight="1">
      <c r="B93" s="5"/>
      <c r="C93" s="5"/>
      <c r="D93" s="4"/>
      <c r="E93" s="7"/>
      <c r="F93" s="4"/>
      <c r="G93" s="4"/>
      <c r="H93" s="5"/>
      <c r="I93" s="8"/>
      <c r="J93" s="5"/>
    </row>
    <row r="94" spans="2:10" ht="20.100000000000001" customHeight="1">
      <c r="B94" s="5"/>
      <c r="C94" s="5"/>
      <c r="D94" s="4"/>
      <c r="E94" s="7"/>
      <c r="F94" s="4"/>
      <c r="G94" s="4"/>
      <c r="H94" s="5"/>
      <c r="I94" s="8"/>
      <c r="J94" s="5"/>
    </row>
    <row r="95" spans="2:10" ht="20.100000000000001" customHeight="1">
      <c r="B95" s="5"/>
      <c r="C95" s="5"/>
      <c r="D95" s="4"/>
      <c r="E95" s="7"/>
      <c r="F95" s="4"/>
      <c r="G95" s="4"/>
      <c r="H95" s="5"/>
      <c r="I95" s="8"/>
      <c r="J95" s="5"/>
    </row>
    <row r="96" spans="2:10" ht="20.100000000000001" customHeight="1">
      <c r="B96" s="5"/>
      <c r="C96" s="5"/>
      <c r="D96" s="4"/>
      <c r="E96" s="7"/>
      <c r="F96" s="4"/>
      <c r="G96" s="4"/>
      <c r="H96" s="5"/>
      <c r="I96" s="8"/>
      <c r="J96" s="5"/>
    </row>
    <row r="97" spans="2:10" ht="20.100000000000001" customHeight="1">
      <c r="B97" s="5"/>
      <c r="C97" s="5"/>
      <c r="D97" s="4"/>
      <c r="E97" s="7"/>
      <c r="F97" s="4"/>
      <c r="G97" s="4"/>
      <c r="H97" s="5"/>
      <c r="I97" s="8"/>
      <c r="J97" s="5"/>
    </row>
    <row r="98" spans="2:10" ht="20.100000000000001" customHeight="1">
      <c r="B98" s="5"/>
      <c r="C98" s="5"/>
      <c r="D98" s="4"/>
      <c r="E98" s="7"/>
      <c r="F98" s="4"/>
      <c r="G98" s="4"/>
      <c r="H98" s="5"/>
      <c r="I98" s="8"/>
      <c r="J98" s="5"/>
    </row>
    <row r="99" spans="2:10" ht="20.100000000000001" customHeight="1">
      <c r="B99" s="5"/>
      <c r="C99" s="5"/>
      <c r="D99" s="4"/>
      <c r="E99" s="7"/>
      <c r="F99" s="4"/>
      <c r="G99" s="4"/>
      <c r="H99" s="5"/>
      <c r="I99" s="8"/>
      <c r="J99" s="5"/>
    </row>
    <row r="100" spans="2:10" ht="20.100000000000001" customHeight="1">
      <c r="B100" s="5"/>
      <c r="C100" s="5"/>
      <c r="D100" s="4"/>
      <c r="E100" s="7"/>
      <c r="F100" s="4"/>
      <c r="G100" s="4"/>
      <c r="H100" s="5"/>
      <c r="I100" s="8"/>
      <c r="J100" s="5"/>
    </row>
    <row r="101" spans="2:10" ht="20.100000000000001" customHeight="1">
      <c r="B101" s="5"/>
      <c r="C101" s="5"/>
      <c r="D101" s="4"/>
      <c r="E101" s="7"/>
      <c r="F101" s="4"/>
      <c r="G101" s="4"/>
      <c r="H101" s="5"/>
      <c r="I101" s="8"/>
      <c r="J101" s="5"/>
    </row>
    <row r="102" spans="2:10" ht="20.100000000000001" customHeight="1">
      <c r="B102" s="5"/>
      <c r="C102" s="5"/>
      <c r="D102" s="4"/>
      <c r="E102" s="7"/>
      <c r="F102" s="4"/>
      <c r="G102" s="4"/>
      <c r="H102" s="5"/>
      <c r="I102" s="8"/>
      <c r="J102" s="5"/>
    </row>
    <row r="103" spans="2:10" ht="20.100000000000001" customHeight="1">
      <c r="B103" s="5"/>
      <c r="C103" s="5"/>
      <c r="D103" s="4"/>
      <c r="E103" s="7"/>
      <c r="F103" s="4"/>
      <c r="G103" s="4"/>
      <c r="H103" s="5"/>
      <c r="I103" s="8"/>
      <c r="J103" s="5"/>
    </row>
    <row r="104" spans="2:10" ht="20.100000000000001" customHeight="1">
      <c r="B104" s="5"/>
      <c r="C104" s="5"/>
      <c r="D104" s="4"/>
      <c r="E104" s="7"/>
      <c r="F104" s="4"/>
      <c r="G104" s="4"/>
      <c r="H104" s="5"/>
      <c r="I104" s="8"/>
      <c r="J104" s="5"/>
    </row>
    <row r="105" spans="2:10" ht="20.100000000000001" customHeight="1">
      <c r="B105" s="5"/>
      <c r="C105" s="5"/>
      <c r="D105" s="4"/>
      <c r="E105" s="7"/>
      <c r="F105" s="4"/>
      <c r="G105" s="4"/>
      <c r="H105" s="5"/>
      <c r="I105" s="8"/>
      <c r="J105" s="5"/>
    </row>
    <row r="106" spans="2:10" ht="20.100000000000001" customHeight="1">
      <c r="B106" s="5"/>
      <c r="C106" s="5"/>
      <c r="D106" s="4"/>
      <c r="E106" s="7"/>
      <c r="F106" s="4"/>
      <c r="G106" s="4"/>
      <c r="H106" s="5"/>
      <c r="I106" s="8"/>
      <c r="J106" s="5"/>
    </row>
    <row r="107" spans="2:10" ht="20.100000000000001" customHeight="1">
      <c r="B107" s="5"/>
      <c r="C107" s="5"/>
      <c r="D107" s="4"/>
      <c r="E107" s="7"/>
      <c r="F107" s="4"/>
      <c r="G107" s="4"/>
      <c r="H107" s="5"/>
      <c r="I107" s="8"/>
      <c r="J107" s="5"/>
    </row>
    <row r="108" spans="2:10" ht="20.100000000000001" customHeight="1">
      <c r="B108" s="5"/>
      <c r="C108" s="5"/>
      <c r="D108" s="4"/>
      <c r="E108" s="7"/>
      <c r="F108" s="4"/>
      <c r="G108" s="4"/>
      <c r="H108" s="5"/>
      <c r="I108" s="8"/>
      <c r="J108" s="5"/>
    </row>
    <row r="109" spans="2:10" ht="20.100000000000001" customHeight="1">
      <c r="B109" s="5"/>
      <c r="C109" s="5"/>
      <c r="D109" s="4"/>
      <c r="E109" s="7"/>
      <c r="F109" s="4"/>
      <c r="G109" s="4"/>
      <c r="H109" s="5"/>
      <c r="I109" s="8"/>
      <c r="J109" s="5"/>
    </row>
    <row r="110" spans="2:10" ht="20.100000000000001" customHeight="1">
      <c r="B110" s="5"/>
      <c r="C110" s="5"/>
      <c r="D110" s="4"/>
      <c r="E110" s="7"/>
      <c r="F110" s="4"/>
      <c r="G110" s="4"/>
      <c r="H110" s="5"/>
      <c r="I110" s="8"/>
      <c r="J110" s="5"/>
    </row>
    <row r="111" spans="2:10" ht="20.100000000000001" customHeight="1">
      <c r="B111" s="5"/>
      <c r="C111" s="5"/>
      <c r="D111" s="4"/>
      <c r="E111" s="7"/>
      <c r="F111" s="4"/>
      <c r="G111" s="4"/>
      <c r="H111" s="5"/>
      <c r="I111" s="8"/>
      <c r="J111" s="5"/>
    </row>
    <row r="112" spans="2:10" ht="20.100000000000001" customHeight="1">
      <c r="B112" s="5"/>
      <c r="C112" s="5"/>
      <c r="D112" s="4"/>
      <c r="E112" s="7"/>
      <c r="F112" s="4"/>
      <c r="G112" s="4"/>
      <c r="H112" s="5"/>
      <c r="I112" s="8"/>
      <c r="J112" s="5"/>
    </row>
    <row r="113" spans="2:10" ht="20.100000000000001" customHeight="1">
      <c r="B113" s="5"/>
      <c r="C113" s="5"/>
      <c r="D113" s="4"/>
      <c r="E113" s="7"/>
      <c r="F113" s="4"/>
      <c r="G113" s="4"/>
      <c r="H113" s="5"/>
      <c r="I113" s="8"/>
      <c r="J113" s="5"/>
    </row>
    <row r="114" spans="2:10" ht="20.100000000000001" customHeight="1">
      <c r="B114" s="5"/>
      <c r="C114" s="5"/>
      <c r="D114" s="4"/>
      <c r="E114" s="7"/>
      <c r="F114" s="4"/>
      <c r="G114" s="4"/>
      <c r="H114" s="5"/>
      <c r="I114" s="8"/>
      <c r="J114" s="5"/>
    </row>
    <row r="115" spans="2:10" ht="20.100000000000001" customHeight="1">
      <c r="B115" s="5"/>
      <c r="C115" s="5"/>
      <c r="D115" s="4"/>
      <c r="E115" s="7"/>
      <c r="F115" s="4"/>
      <c r="G115" s="4"/>
      <c r="H115" s="5"/>
      <c r="I115" s="8"/>
      <c r="J115" s="5"/>
    </row>
    <row r="116" spans="2:10" ht="20.100000000000001" customHeight="1">
      <c r="B116" s="5"/>
      <c r="C116" s="5"/>
      <c r="D116" s="4"/>
      <c r="E116" s="7"/>
      <c r="F116" s="4"/>
      <c r="G116" s="4"/>
      <c r="H116" s="5"/>
      <c r="I116" s="8"/>
      <c r="J116" s="5"/>
    </row>
    <row r="117" spans="2:10" ht="20.100000000000001" customHeight="1">
      <c r="B117" s="5"/>
      <c r="C117" s="5"/>
      <c r="D117" s="4"/>
      <c r="E117" s="7"/>
      <c r="F117" s="4"/>
      <c r="G117" s="4"/>
      <c r="H117" s="5"/>
      <c r="I117" s="8"/>
      <c r="J117" s="5"/>
    </row>
    <row r="118" spans="2:10" ht="20.100000000000001" customHeight="1">
      <c r="B118" s="5"/>
      <c r="C118" s="5"/>
      <c r="D118" s="4"/>
      <c r="E118" s="7"/>
      <c r="F118" s="4"/>
      <c r="G118" s="4"/>
      <c r="H118" s="5"/>
      <c r="I118" s="8"/>
      <c r="J118" s="5"/>
    </row>
    <row r="119" spans="2:10" ht="20.100000000000001" customHeight="1">
      <c r="B119" s="5"/>
      <c r="C119" s="5"/>
      <c r="D119" s="4"/>
      <c r="E119" s="7"/>
      <c r="F119" s="4"/>
      <c r="G119" s="4"/>
      <c r="H119" s="5"/>
      <c r="I119" s="8"/>
      <c r="J119" s="5"/>
    </row>
    <row r="120" spans="2:10" ht="20.100000000000001" customHeight="1">
      <c r="B120" s="5"/>
      <c r="C120" s="5"/>
      <c r="D120" s="4"/>
      <c r="E120" s="7"/>
      <c r="F120" s="4"/>
      <c r="G120" s="4"/>
      <c r="H120" s="5"/>
      <c r="I120" s="8"/>
      <c r="J120" s="5"/>
    </row>
    <row r="121" spans="2:10" ht="20.100000000000001" customHeight="1">
      <c r="B121" s="5"/>
      <c r="C121" s="5"/>
      <c r="D121" s="4"/>
      <c r="E121" s="7"/>
      <c r="F121" s="4"/>
      <c r="G121" s="4"/>
      <c r="H121" s="5"/>
      <c r="I121" s="8"/>
      <c r="J121" s="5"/>
    </row>
    <row r="122" spans="2:10" ht="20.100000000000001" customHeight="1">
      <c r="B122" s="5"/>
      <c r="C122" s="5"/>
      <c r="D122" s="4"/>
      <c r="E122" s="7"/>
      <c r="F122" s="4"/>
      <c r="G122" s="4"/>
      <c r="H122" s="5"/>
      <c r="I122" s="8"/>
      <c r="J122" s="5"/>
    </row>
    <row r="123" spans="2:10" ht="20.100000000000001" customHeight="1">
      <c r="B123" s="5"/>
      <c r="C123" s="5"/>
      <c r="D123" s="4"/>
      <c r="E123" s="7"/>
      <c r="F123" s="4"/>
      <c r="G123" s="4"/>
      <c r="H123" s="5"/>
      <c r="I123" s="8"/>
      <c r="J123" s="5"/>
    </row>
    <row r="124" spans="2:10" ht="20.100000000000001" customHeight="1">
      <c r="B124" s="5"/>
      <c r="C124" s="5"/>
      <c r="D124" s="4"/>
      <c r="E124" s="7"/>
      <c r="F124" s="4"/>
      <c r="G124" s="4"/>
      <c r="H124" s="5"/>
      <c r="I124" s="8"/>
      <c r="J124" s="5"/>
    </row>
    <row r="125" spans="2:10" ht="20.100000000000001" customHeight="1">
      <c r="B125" s="5"/>
      <c r="C125" s="5"/>
      <c r="D125" s="4"/>
      <c r="E125" s="7"/>
      <c r="F125" s="4"/>
      <c r="G125" s="4"/>
      <c r="H125" s="5"/>
      <c r="I125" s="8"/>
      <c r="J125" s="5"/>
    </row>
    <row r="126" spans="2:10" ht="20.100000000000001" customHeight="1">
      <c r="B126" s="5"/>
      <c r="C126" s="5"/>
      <c r="D126" s="4"/>
      <c r="E126" s="7"/>
      <c r="F126" s="4"/>
      <c r="G126" s="4"/>
      <c r="H126" s="5"/>
      <c r="I126" s="8"/>
      <c r="J126" s="5"/>
    </row>
    <row r="127" spans="2:10" ht="20.100000000000001" customHeight="1">
      <c r="B127" s="5"/>
      <c r="C127" s="5"/>
      <c r="D127" s="4"/>
      <c r="E127" s="7"/>
      <c r="F127" s="4"/>
      <c r="G127" s="4"/>
      <c r="H127" s="5"/>
      <c r="I127" s="8"/>
      <c r="J127" s="5"/>
    </row>
    <row r="128" spans="2:10" ht="20.100000000000001" customHeight="1">
      <c r="B128" s="5"/>
      <c r="C128" s="5"/>
      <c r="D128" s="4"/>
      <c r="E128" s="7"/>
      <c r="F128" s="4"/>
      <c r="G128" s="4"/>
      <c r="H128" s="5"/>
      <c r="I128" s="8"/>
      <c r="J128" s="5"/>
    </row>
    <row r="129" spans="2:10" ht="20.100000000000001" customHeight="1">
      <c r="B129" s="5"/>
      <c r="C129" s="5"/>
      <c r="D129" s="4"/>
      <c r="E129" s="7"/>
      <c r="F129" s="4"/>
      <c r="G129" s="4"/>
      <c r="H129" s="5"/>
      <c r="I129" s="8"/>
      <c r="J129" s="5"/>
    </row>
    <row r="130" spans="2:10" ht="20.100000000000001" customHeight="1">
      <c r="B130" s="5"/>
      <c r="C130" s="5"/>
      <c r="D130" s="4"/>
      <c r="E130" s="7"/>
      <c r="F130" s="4"/>
      <c r="G130" s="4"/>
      <c r="H130" s="5"/>
      <c r="I130" s="8"/>
      <c r="J130" s="5"/>
    </row>
    <row r="131" spans="2:10" ht="20.100000000000001" customHeight="1">
      <c r="B131" s="5"/>
      <c r="C131" s="5"/>
      <c r="D131" s="4"/>
      <c r="E131" s="7"/>
      <c r="F131" s="4"/>
      <c r="G131" s="4"/>
      <c r="H131" s="5"/>
      <c r="I131" s="8"/>
      <c r="J131" s="5"/>
    </row>
    <row r="132" spans="2:10" ht="20.100000000000001" customHeight="1">
      <c r="B132" s="5"/>
      <c r="C132" s="5"/>
      <c r="D132" s="4"/>
      <c r="E132" s="7"/>
      <c r="F132" s="4"/>
      <c r="G132" s="4"/>
      <c r="H132" s="5"/>
      <c r="I132" s="8"/>
      <c r="J132" s="5"/>
    </row>
    <row r="133" spans="2:10" ht="20.100000000000001" customHeight="1">
      <c r="B133" s="5"/>
      <c r="C133" s="5"/>
      <c r="D133" s="4"/>
      <c r="E133" s="7"/>
      <c r="F133" s="4"/>
      <c r="G133" s="4"/>
      <c r="H133" s="5"/>
      <c r="I133" s="8"/>
      <c r="J133" s="5"/>
    </row>
    <row r="134" spans="2:10" ht="20.100000000000001" customHeight="1">
      <c r="B134" s="5"/>
      <c r="C134" s="5"/>
      <c r="D134" s="4"/>
      <c r="E134" s="7"/>
      <c r="F134" s="4"/>
      <c r="G134" s="4"/>
      <c r="H134" s="5"/>
      <c r="I134" s="8"/>
      <c r="J134" s="5"/>
    </row>
    <row r="135" spans="2:10" ht="20.100000000000001" customHeight="1">
      <c r="B135" s="5"/>
      <c r="C135" s="5"/>
      <c r="D135" s="4"/>
      <c r="E135" s="7"/>
      <c r="F135" s="4"/>
      <c r="G135" s="4"/>
      <c r="H135" s="5"/>
      <c r="I135" s="8"/>
      <c r="J135" s="5"/>
    </row>
    <row r="136" spans="2:10" ht="20.100000000000001" customHeight="1">
      <c r="B136" s="5"/>
      <c r="C136" s="5"/>
      <c r="D136" s="4"/>
      <c r="E136" s="7"/>
      <c r="F136" s="4"/>
      <c r="G136" s="4"/>
      <c r="H136" s="5"/>
      <c r="I136" s="8"/>
      <c r="J136" s="5"/>
    </row>
    <row r="137" spans="2:10" ht="20.100000000000001" customHeight="1">
      <c r="B137" s="5"/>
      <c r="C137" s="5"/>
      <c r="D137" s="4"/>
      <c r="E137" s="7"/>
      <c r="F137" s="4"/>
      <c r="G137" s="4"/>
      <c r="H137" s="5"/>
      <c r="I137" s="8"/>
      <c r="J137" s="5"/>
    </row>
    <row r="138" spans="2:10" ht="20.100000000000001" customHeight="1">
      <c r="B138" s="5"/>
      <c r="C138" s="5"/>
      <c r="D138" s="4"/>
      <c r="E138" s="7"/>
      <c r="F138" s="4"/>
      <c r="G138" s="4"/>
      <c r="H138" s="5"/>
      <c r="I138" s="8"/>
      <c r="J138" s="5"/>
    </row>
    <row r="139" spans="2:10" ht="20.100000000000001" customHeight="1">
      <c r="B139" s="5"/>
      <c r="C139" s="5"/>
      <c r="D139" s="4"/>
      <c r="E139" s="7"/>
      <c r="F139" s="4"/>
      <c r="G139" s="4"/>
      <c r="H139" s="5"/>
      <c r="I139" s="8"/>
      <c r="J139" s="5"/>
    </row>
    <row r="140" spans="2:10" ht="20.100000000000001" customHeight="1">
      <c r="B140" s="5"/>
      <c r="C140" s="5"/>
      <c r="D140" s="4"/>
      <c r="E140" s="7"/>
      <c r="F140" s="4"/>
      <c r="G140" s="4"/>
      <c r="H140" s="5"/>
      <c r="I140" s="8"/>
      <c r="J140" s="5"/>
    </row>
    <row r="141" spans="2:10" ht="20.100000000000001" customHeight="1">
      <c r="B141" s="5"/>
      <c r="C141" s="5"/>
      <c r="D141" s="4"/>
      <c r="E141" s="7"/>
      <c r="F141" s="4"/>
      <c r="G141" s="4"/>
      <c r="H141" s="5"/>
      <c r="I141" s="8"/>
      <c r="J141" s="5"/>
    </row>
    <row r="142" spans="2:10" ht="20.100000000000001" customHeight="1">
      <c r="B142" s="5"/>
      <c r="C142" s="5"/>
      <c r="D142" s="4"/>
      <c r="E142" s="7"/>
      <c r="F142" s="4"/>
      <c r="G142" s="4"/>
      <c r="H142" s="5"/>
      <c r="I142" s="8"/>
      <c r="J142" s="5"/>
    </row>
    <row r="143" spans="2:10" ht="20.100000000000001" customHeight="1">
      <c r="B143" s="5"/>
      <c r="C143" s="5"/>
      <c r="D143" s="4"/>
      <c r="E143" s="7"/>
      <c r="F143" s="4"/>
      <c r="G143" s="4"/>
      <c r="H143" s="5"/>
      <c r="I143" s="8"/>
      <c r="J143" s="5"/>
    </row>
    <row r="144" spans="2:10" ht="20.100000000000001" customHeight="1">
      <c r="B144" s="5"/>
      <c r="C144" s="5"/>
      <c r="D144" s="4"/>
      <c r="E144" s="7"/>
      <c r="F144" s="4"/>
      <c r="G144" s="4"/>
      <c r="H144" s="5"/>
      <c r="I144" s="8"/>
      <c r="J144" s="5"/>
    </row>
    <row r="145" spans="2:10" ht="20.100000000000001" customHeight="1">
      <c r="B145" s="5"/>
      <c r="C145" s="5"/>
      <c r="D145" s="4"/>
      <c r="E145" s="7"/>
      <c r="F145" s="4"/>
      <c r="G145" s="4"/>
      <c r="H145" s="5"/>
      <c r="I145" s="8"/>
      <c r="J145" s="5"/>
    </row>
    <row r="146" spans="2:10" ht="20.100000000000001" customHeight="1">
      <c r="B146" s="5"/>
      <c r="C146" s="5"/>
      <c r="D146" s="4"/>
      <c r="E146" s="7"/>
      <c r="F146" s="4"/>
      <c r="G146" s="4"/>
      <c r="H146" s="5"/>
      <c r="I146" s="8"/>
      <c r="J146" s="5"/>
    </row>
    <row r="147" spans="2:10" ht="20.100000000000001" customHeight="1">
      <c r="B147" s="5"/>
      <c r="C147" s="5"/>
      <c r="D147" s="4"/>
      <c r="E147" s="7"/>
      <c r="F147" s="4"/>
      <c r="G147" s="4"/>
      <c r="H147" s="5"/>
      <c r="I147" s="8"/>
      <c r="J147" s="5"/>
    </row>
    <row r="148" spans="2:10" ht="20.100000000000001" customHeight="1">
      <c r="B148" s="5"/>
      <c r="C148" s="5"/>
      <c r="D148" s="4"/>
      <c r="E148" s="7"/>
      <c r="F148" s="4"/>
      <c r="G148" s="4"/>
      <c r="H148" s="5"/>
      <c r="I148" s="8"/>
      <c r="J148" s="5"/>
    </row>
    <row r="149" spans="2:10" ht="20.100000000000001" customHeight="1">
      <c r="B149" s="5"/>
      <c r="C149" s="5"/>
      <c r="D149" s="4"/>
      <c r="E149" s="7"/>
      <c r="F149" s="4"/>
      <c r="G149" s="4"/>
      <c r="H149" s="5"/>
      <c r="I149" s="8"/>
      <c r="J149" s="5"/>
    </row>
    <row r="150" spans="2:10" ht="20.100000000000001" customHeight="1">
      <c r="B150" s="5"/>
      <c r="C150" s="5"/>
      <c r="D150" s="4"/>
      <c r="E150" s="7"/>
      <c r="F150" s="4"/>
      <c r="G150" s="4"/>
      <c r="H150" s="5"/>
      <c r="I150" s="8"/>
      <c r="J150" s="5"/>
    </row>
    <row r="151" spans="2:10" ht="20.100000000000001" customHeight="1">
      <c r="B151" s="5"/>
      <c r="C151" s="5"/>
      <c r="D151" s="4"/>
      <c r="E151" s="7"/>
      <c r="F151" s="4"/>
      <c r="G151" s="4"/>
      <c r="H151" s="5"/>
      <c r="I151" s="8"/>
      <c r="J151" s="5"/>
    </row>
    <row r="152" spans="2:10" ht="20.100000000000001" customHeight="1">
      <c r="B152" s="5"/>
      <c r="C152" s="5"/>
      <c r="D152" s="4"/>
      <c r="E152" s="7"/>
      <c r="F152" s="4"/>
      <c r="G152" s="4"/>
      <c r="H152" s="5"/>
      <c r="I152" s="8"/>
      <c r="J152" s="5"/>
    </row>
    <row r="153" spans="2:10" ht="20.100000000000001" customHeight="1">
      <c r="B153" s="5"/>
      <c r="C153" s="5"/>
      <c r="D153" s="4"/>
      <c r="E153" s="7"/>
      <c r="F153" s="4"/>
      <c r="G153" s="4"/>
      <c r="H153" s="5"/>
      <c r="I153" s="8"/>
      <c r="J153" s="5"/>
    </row>
    <row r="154" spans="2:10" ht="20.100000000000001" customHeight="1">
      <c r="B154" s="5"/>
      <c r="C154" s="5"/>
      <c r="D154" s="4"/>
      <c r="E154" s="7"/>
      <c r="F154" s="4"/>
      <c r="G154" s="4"/>
      <c r="H154" s="5"/>
      <c r="I154" s="8"/>
      <c r="J154" s="5"/>
    </row>
    <row r="155" spans="2:10" ht="20.100000000000001" customHeight="1">
      <c r="B155" s="5"/>
      <c r="C155" s="5"/>
      <c r="D155" s="4"/>
      <c r="E155" s="7"/>
      <c r="F155" s="4"/>
      <c r="G155" s="4"/>
      <c r="H155" s="5"/>
      <c r="I155" s="8"/>
      <c r="J155" s="5"/>
    </row>
    <row r="156" spans="2:10" ht="20.100000000000001" customHeight="1">
      <c r="B156" s="5"/>
      <c r="C156" s="5"/>
      <c r="D156" s="4"/>
      <c r="E156" s="7"/>
      <c r="F156" s="4"/>
      <c r="G156" s="4"/>
      <c r="H156" s="5"/>
      <c r="I156" s="8"/>
      <c r="J156" s="5"/>
    </row>
    <row r="157" spans="2:10" ht="20.100000000000001" customHeight="1">
      <c r="B157" s="5"/>
      <c r="C157" s="5"/>
      <c r="D157" s="4"/>
      <c r="E157" s="7"/>
      <c r="F157" s="4"/>
      <c r="G157" s="4"/>
      <c r="H157" s="5"/>
      <c r="I157" s="8"/>
      <c r="J157" s="5"/>
    </row>
    <row r="158" spans="2:10" ht="20.100000000000001" customHeight="1">
      <c r="B158" s="5"/>
      <c r="C158" s="5"/>
      <c r="D158" s="4"/>
      <c r="E158" s="7"/>
      <c r="F158" s="4"/>
      <c r="G158" s="4"/>
      <c r="H158" s="5"/>
      <c r="I158" s="8"/>
      <c r="J158" s="5"/>
    </row>
    <row r="159" spans="2:10" ht="20.100000000000001" customHeight="1">
      <c r="B159" s="5"/>
      <c r="C159" s="5"/>
      <c r="D159" s="4"/>
      <c r="E159" s="7"/>
      <c r="F159" s="4"/>
      <c r="G159" s="4"/>
      <c r="H159" s="5"/>
      <c r="I159" s="8"/>
      <c r="J159" s="5"/>
    </row>
    <row r="160" spans="2:10" ht="20.100000000000001" customHeight="1">
      <c r="B160" s="5"/>
      <c r="C160" s="5"/>
      <c r="D160" s="4"/>
      <c r="E160" s="7"/>
      <c r="F160" s="4"/>
      <c r="G160" s="4"/>
      <c r="H160" s="5"/>
      <c r="I160" s="8"/>
      <c r="J160" s="5"/>
    </row>
    <row r="161" spans="2:10" ht="20.100000000000001" customHeight="1">
      <c r="B161" s="5"/>
      <c r="C161" s="5"/>
      <c r="D161" s="4"/>
      <c r="E161" s="7"/>
      <c r="F161" s="4"/>
      <c r="G161" s="4"/>
      <c r="H161" s="5"/>
      <c r="I161" s="8"/>
      <c r="J161" s="5"/>
    </row>
    <row r="162" spans="2:10" ht="20.100000000000001" customHeight="1">
      <c r="B162" s="5"/>
      <c r="C162" s="5"/>
      <c r="D162" s="4"/>
      <c r="E162" s="7"/>
      <c r="F162" s="4"/>
      <c r="G162" s="4"/>
      <c r="H162" s="5"/>
      <c r="I162" s="8"/>
      <c r="J162" s="5"/>
    </row>
    <row r="163" spans="2:10" ht="20.100000000000001" customHeight="1">
      <c r="B163" s="5"/>
      <c r="C163" s="5"/>
      <c r="D163" s="4"/>
      <c r="E163" s="7"/>
      <c r="F163" s="4"/>
      <c r="G163" s="4"/>
      <c r="H163" s="5"/>
      <c r="I163" s="8"/>
      <c r="J163" s="5"/>
    </row>
    <row r="164" spans="2:10" ht="20.100000000000001" customHeight="1">
      <c r="B164" s="5"/>
      <c r="C164" s="5"/>
      <c r="D164" s="4"/>
      <c r="E164" s="7"/>
      <c r="F164" s="4"/>
      <c r="G164" s="4"/>
      <c r="H164" s="5"/>
      <c r="I164" s="8"/>
      <c r="J164" s="5"/>
    </row>
    <row r="165" spans="2:10" ht="20.100000000000001" customHeight="1">
      <c r="B165" s="5"/>
      <c r="C165" s="5"/>
      <c r="D165" s="4"/>
      <c r="E165" s="7"/>
      <c r="F165" s="4"/>
      <c r="G165" s="4"/>
      <c r="H165" s="5"/>
      <c r="I165" s="8"/>
      <c r="J165" s="5"/>
    </row>
    <row r="166" spans="2:10" ht="20.100000000000001" customHeight="1">
      <c r="B166" s="5"/>
      <c r="C166" s="5"/>
      <c r="D166" s="4"/>
      <c r="E166" s="7"/>
      <c r="F166" s="4"/>
      <c r="G166" s="4"/>
      <c r="H166" s="5"/>
      <c r="I166" s="8"/>
      <c r="J166" s="5"/>
    </row>
    <row r="167" spans="2:10" ht="20.100000000000001" customHeight="1">
      <c r="B167" s="5"/>
      <c r="C167" s="5"/>
      <c r="D167" s="4"/>
      <c r="E167" s="7"/>
      <c r="F167" s="4"/>
      <c r="G167" s="4"/>
      <c r="H167" s="5"/>
      <c r="I167" s="8"/>
      <c r="J167" s="5"/>
    </row>
    <row r="168" spans="2:10" ht="20.100000000000001" customHeight="1">
      <c r="B168" s="5"/>
      <c r="C168" s="5"/>
      <c r="D168" s="4"/>
      <c r="E168" s="7"/>
      <c r="F168" s="4"/>
      <c r="G168" s="4"/>
      <c r="H168" s="5"/>
      <c r="I168" s="8"/>
      <c r="J168" s="5"/>
    </row>
    <row r="169" spans="2:10" ht="20.100000000000001" customHeight="1">
      <c r="B169" s="5"/>
      <c r="C169" s="5"/>
      <c r="D169" s="4"/>
      <c r="E169" s="7"/>
      <c r="F169" s="4"/>
      <c r="G169" s="4"/>
      <c r="H169" s="5"/>
      <c r="I169" s="8"/>
      <c r="J169" s="5"/>
    </row>
    <row r="170" spans="2:10" ht="20.100000000000001" customHeight="1">
      <c r="B170" s="5"/>
      <c r="C170" s="5"/>
      <c r="D170" s="4"/>
      <c r="E170" s="7"/>
      <c r="F170" s="4"/>
      <c r="G170" s="4"/>
      <c r="H170" s="5"/>
      <c r="I170" s="8"/>
      <c r="J170" s="5"/>
    </row>
    <row r="171" spans="2:10" ht="20.100000000000001" customHeight="1">
      <c r="B171" s="5"/>
      <c r="C171" s="5"/>
      <c r="D171" s="4"/>
      <c r="E171" s="7"/>
      <c r="F171" s="4"/>
      <c r="G171" s="4"/>
      <c r="H171" s="5"/>
      <c r="I171" s="8"/>
      <c r="J171" s="5"/>
    </row>
    <row r="172" spans="2:10" ht="20.100000000000001" customHeight="1">
      <c r="B172" s="5"/>
      <c r="C172" s="5"/>
      <c r="D172" s="4"/>
      <c r="E172" s="7"/>
      <c r="F172" s="4"/>
      <c r="G172" s="4"/>
      <c r="H172" s="5"/>
      <c r="I172" s="8"/>
      <c r="J172" s="5"/>
    </row>
    <row r="173" spans="2:10" ht="20.100000000000001" customHeight="1">
      <c r="B173" s="5"/>
      <c r="C173" s="5"/>
      <c r="D173" s="4"/>
      <c r="E173" s="7"/>
      <c r="F173" s="4"/>
      <c r="G173" s="4"/>
      <c r="H173" s="5"/>
      <c r="I173" s="8"/>
      <c r="J173" s="5"/>
    </row>
    <row r="174" spans="2:10" ht="20.100000000000001" customHeight="1">
      <c r="B174" s="5"/>
      <c r="C174" s="5"/>
      <c r="D174" s="4"/>
      <c r="E174" s="7"/>
      <c r="F174" s="4"/>
      <c r="G174" s="4"/>
      <c r="H174" s="5"/>
      <c r="I174" s="8"/>
      <c r="J174" s="5"/>
    </row>
    <row r="175" spans="2:10" ht="20.100000000000001" customHeight="1">
      <c r="B175" s="5"/>
      <c r="C175" s="5"/>
      <c r="D175" s="4"/>
      <c r="E175" s="7"/>
      <c r="F175" s="4"/>
      <c r="G175" s="4"/>
      <c r="H175" s="5"/>
      <c r="I175" s="8"/>
      <c r="J175" s="5"/>
    </row>
    <row r="176" spans="2:10" ht="20.100000000000001" customHeight="1">
      <c r="B176" s="5"/>
      <c r="C176" s="5"/>
      <c r="D176" s="4"/>
      <c r="E176" s="7"/>
      <c r="F176" s="4"/>
      <c r="G176" s="4"/>
      <c r="H176" s="5"/>
      <c r="I176" s="8"/>
      <c r="J176" s="5"/>
    </row>
    <row r="177" spans="2:10" ht="20.100000000000001" customHeight="1">
      <c r="B177" s="5"/>
      <c r="C177" s="5"/>
      <c r="D177" s="4"/>
      <c r="E177" s="7"/>
      <c r="F177" s="4"/>
      <c r="G177" s="4"/>
      <c r="H177" s="5"/>
      <c r="I177" s="8"/>
      <c r="J177" s="5"/>
    </row>
    <row r="178" spans="2:10" ht="20.100000000000001" customHeight="1">
      <c r="B178" s="5"/>
      <c r="C178" s="5"/>
      <c r="D178" s="4"/>
      <c r="E178" s="7"/>
      <c r="F178" s="4"/>
      <c r="G178" s="4"/>
      <c r="H178" s="5"/>
      <c r="I178" s="8"/>
      <c r="J178" s="5"/>
    </row>
    <row r="179" spans="2:10" ht="20.100000000000001" customHeight="1">
      <c r="B179" s="5"/>
      <c r="C179" s="5"/>
      <c r="D179" s="4"/>
      <c r="E179" s="7"/>
      <c r="F179" s="4"/>
      <c r="G179" s="4"/>
      <c r="H179" s="5"/>
      <c r="I179" s="8"/>
      <c r="J179" s="5"/>
    </row>
    <row r="180" spans="2:10" ht="20.100000000000001" customHeight="1">
      <c r="B180" s="5"/>
      <c r="C180" s="5"/>
      <c r="D180" s="4"/>
      <c r="E180" s="7"/>
      <c r="F180" s="4"/>
      <c r="G180" s="4"/>
      <c r="H180" s="5"/>
      <c r="I180" s="8"/>
      <c r="J180" s="5"/>
    </row>
    <row r="181" spans="2:10" ht="20.100000000000001" customHeight="1">
      <c r="B181" s="5"/>
      <c r="C181" s="5"/>
      <c r="D181" s="4"/>
      <c r="E181" s="7"/>
      <c r="F181" s="4"/>
      <c r="G181" s="4"/>
      <c r="H181" s="5"/>
      <c r="I181" s="8"/>
      <c r="J181" s="5"/>
    </row>
    <row r="182" spans="2:10" ht="20.100000000000001" customHeight="1">
      <c r="B182" s="5"/>
      <c r="C182" s="5"/>
      <c r="D182" s="4"/>
      <c r="E182" s="7"/>
      <c r="F182" s="4"/>
      <c r="G182" s="4"/>
      <c r="H182" s="5"/>
      <c r="I182" s="8"/>
      <c r="J182" s="5"/>
    </row>
    <row r="183" spans="2:10" ht="20.100000000000001" customHeight="1">
      <c r="B183" s="5"/>
      <c r="C183" s="5"/>
      <c r="D183" s="4"/>
      <c r="E183" s="7"/>
      <c r="F183" s="4"/>
      <c r="G183" s="4"/>
      <c r="H183" s="5"/>
      <c r="I183" s="8"/>
      <c r="J183" s="5"/>
    </row>
    <row r="184" spans="2:10" ht="20.100000000000001" customHeight="1">
      <c r="B184" s="5"/>
      <c r="C184" s="5"/>
      <c r="D184" s="4"/>
      <c r="E184" s="7"/>
      <c r="F184" s="4"/>
      <c r="G184" s="4"/>
      <c r="H184" s="5"/>
      <c r="I184" s="8"/>
      <c r="J184" s="5"/>
    </row>
    <row r="185" spans="2:10" ht="20.100000000000001" customHeight="1">
      <c r="B185" s="5"/>
      <c r="C185" s="5"/>
      <c r="D185" s="4"/>
      <c r="E185" s="7"/>
      <c r="F185" s="4"/>
      <c r="G185" s="4"/>
      <c r="H185" s="5"/>
      <c r="I185" s="8"/>
      <c r="J185" s="5"/>
    </row>
    <row r="186" spans="2:10" ht="20.100000000000001" customHeight="1">
      <c r="B186" s="5"/>
      <c r="C186" s="5"/>
      <c r="D186" s="4"/>
      <c r="E186" s="7"/>
      <c r="F186" s="4"/>
      <c r="G186" s="4"/>
      <c r="H186" s="5"/>
      <c r="I186" s="8"/>
      <c r="J186" s="5"/>
    </row>
    <row r="187" spans="2:10" ht="20.100000000000001" customHeight="1">
      <c r="B187" s="5"/>
      <c r="C187" s="5"/>
      <c r="D187" s="4"/>
      <c r="E187" s="7"/>
      <c r="F187" s="4"/>
      <c r="G187" s="4"/>
      <c r="H187" s="5"/>
      <c r="I187" s="8"/>
      <c r="J187" s="5"/>
    </row>
    <row r="188" spans="2:10" ht="20.100000000000001" customHeight="1">
      <c r="B188" s="5"/>
      <c r="C188" s="5"/>
      <c r="D188" s="4"/>
      <c r="E188" s="7"/>
      <c r="F188" s="4"/>
      <c r="G188" s="4"/>
      <c r="H188" s="5"/>
      <c r="I188" s="8"/>
      <c r="J188" s="5"/>
    </row>
    <row r="189" spans="2:10" ht="20.100000000000001" customHeight="1">
      <c r="B189" s="5"/>
      <c r="C189" s="5"/>
      <c r="D189" s="4"/>
      <c r="E189" s="7"/>
      <c r="F189" s="4"/>
      <c r="G189" s="4"/>
      <c r="H189" s="5"/>
      <c r="I189" s="8"/>
      <c r="J189" s="5"/>
    </row>
    <row r="190" spans="2:10" ht="20.100000000000001" customHeight="1">
      <c r="B190" s="5"/>
      <c r="C190" s="5"/>
      <c r="D190" s="4"/>
      <c r="E190" s="7"/>
      <c r="F190" s="4"/>
      <c r="G190" s="4"/>
      <c r="H190" s="5"/>
      <c r="I190" s="8"/>
      <c r="J190" s="5"/>
    </row>
    <row r="191" spans="2:10" ht="20.100000000000001" customHeight="1">
      <c r="B191" s="5"/>
      <c r="C191" s="5"/>
      <c r="D191" s="4"/>
      <c r="E191" s="7"/>
      <c r="F191" s="4"/>
      <c r="G191" s="4"/>
      <c r="H191" s="5"/>
      <c r="I191" s="8"/>
      <c r="J191" s="5"/>
    </row>
    <row r="192" spans="2:10" ht="20.100000000000001" customHeight="1">
      <c r="B192" s="5"/>
      <c r="C192" s="5"/>
      <c r="D192" s="4"/>
      <c r="E192" s="7"/>
      <c r="F192" s="4"/>
      <c r="G192" s="4"/>
      <c r="H192" s="5"/>
      <c r="I192" s="8"/>
      <c r="J192" s="5"/>
    </row>
    <row r="193" spans="2:10" ht="20.100000000000001" customHeight="1">
      <c r="B193" s="5"/>
      <c r="C193" s="5"/>
      <c r="D193" s="4"/>
      <c r="E193" s="7"/>
      <c r="F193" s="4"/>
      <c r="G193" s="4"/>
      <c r="H193" s="5"/>
      <c r="I193" s="8"/>
      <c r="J193" s="5"/>
    </row>
    <row r="194" spans="2:10" ht="20.100000000000001" customHeight="1">
      <c r="B194" s="5"/>
      <c r="C194" s="5"/>
      <c r="D194" s="4"/>
      <c r="E194" s="7"/>
      <c r="F194" s="4"/>
      <c r="G194" s="4"/>
      <c r="H194" s="5"/>
      <c r="I194" s="8"/>
      <c r="J194" s="5"/>
    </row>
    <row r="195" spans="2:10" ht="20.100000000000001" customHeight="1">
      <c r="B195" s="5"/>
      <c r="C195" s="5"/>
      <c r="D195" s="4"/>
      <c r="E195" s="7"/>
      <c r="F195" s="4"/>
      <c r="G195" s="4"/>
      <c r="H195" s="5"/>
      <c r="I195" s="8"/>
      <c r="J195" s="5"/>
    </row>
    <row r="196" spans="2:10" ht="20.100000000000001" customHeight="1">
      <c r="B196" s="5"/>
      <c r="C196" s="5"/>
      <c r="D196" s="4"/>
      <c r="E196" s="7"/>
      <c r="F196" s="4"/>
      <c r="G196" s="4"/>
      <c r="H196" s="5"/>
      <c r="I196" s="8"/>
      <c r="J196" s="5"/>
    </row>
    <row r="197" spans="2:10" ht="20.100000000000001" customHeight="1">
      <c r="B197" s="5"/>
      <c r="C197" s="5"/>
      <c r="D197" s="4"/>
      <c r="E197" s="7"/>
      <c r="F197" s="4"/>
      <c r="G197" s="4"/>
      <c r="H197" s="5"/>
      <c r="I197" s="8"/>
      <c r="J197" s="5"/>
    </row>
    <row r="198" spans="2:10" ht="20.100000000000001" customHeight="1">
      <c r="B198" s="5"/>
      <c r="C198" s="5"/>
      <c r="D198" s="4"/>
      <c r="E198" s="7"/>
      <c r="F198" s="4"/>
      <c r="G198" s="4"/>
      <c r="H198" s="5"/>
      <c r="I198" s="8"/>
      <c r="J198" s="5"/>
    </row>
    <row r="199" spans="2:10" ht="20.100000000000001" customHeight="1">
      <c r="B199" s="5"/>
      <c r="C199" s="5"/>
      <c r="D199" s="4"/>
      <c r="E199" s="7"/>
      <c r="F199" s="4"/>
      <c r="G199" s="4"/>
      <c r="H199" s="5"/>
      <c r="I199" s="8"/>
      <c r="J199" s="5"/>
    </row>
    <row r="200" spans="2:10" ht="20.100000000000001" customHeight="1">
      <c r="B200" s="5"/>
      <c r="C200" s="5"/>
      <c r="D200" s="4"/>
      <c r="E200" s="7"/>
      <c r="F200" s="4"/>
      <c r="G200" s="4"/>
      <c r="H200" s="5"/>
      <c r="I200" s="8"/>
      <c r="J200" s="5"/>
    </row>
    <row r="201" spans="2:10" ht="20.100000000000001" customHeight="1">
      <c r="B201" s="5"/>
      <c r="C201" s="5"/>
      <c r="D201" s="4"/>
      <c r="E201" s="7"/>
      <c r="F201" s="4"/>
      <c r="G201" s="4"/>
      <c r="H201" s="5"/>
      <c r="I201" s="8"/>
      <c r="J201" s="5"/>
    </row>
    <row r="202" spans="2:10" ht="20.100000000000001" customHeight="1">
      <c r="B202" s="5"/>
      <c r="C202" s="5"/>
      <c r="D202" s="4"/>
      <c r="E202" s="7"/>
      <c r="F202" s="4"/>
      <c r="G202" s="4"/>
      <c r="H202" s="5"/>
      <c r="I202" s="8"/>
      <c r="J202" s="5"/>
    </row>
    <row r="203" spans="2:10" ht="20.100000000000001" customHeight="1">
      <c r="B203" s="5"/>
      <c r="C203" s="5"/>
      <c r="D203" s="4"/>
      <c r="E203" s="7"/>
      <c r="F203" s="4"/>
      <c r="G203" s="4"/>
      <c r="H203" s="5"/>
      <c r="I203" s="8"/>
      <c r="J203" s="5"/>
    </row>
    <row r="204" spans="2:10" ht="20.100000000000001" customHeight="1">
      <c r="B204" s="5"/>
      <c r="C204" s="5"/>
      <c r="D204" s="4"/>
      <c r="E204" s="7"/>
      <c r="F204" s="4"/>
      <c r="G204" s="4"/>
      <c r="H204" s="5"/>
      <c r="I204" s="8"/>
      <c r="J204" s="5"/>
    </row>
    <row r="205" spans="2:10" ht="20.100000000000001" customHeight="1">
      <c r="B205" s="5"/>
      <c r="C205" s="5"/>
      <c r="D205" s="4"/>
      <c r="E205" s="7"/>
      <c r="F205" s="4"/>
      <c r="G205" s="4"/>
      <c r="H205" s="5"/>
      <c r="I205" s="8"/>
      <c r="J205" s="5"/>
    </row>
    <row r="206" spans="2:10" ht="20.100000000000001" customHeight="1">
      <c r="B206" s="5"/>
      <c r="C206" s="5"/>
      <c r="D206" s="4"/>
      <c r="E206" s="7"/>
      <c r="F206" s="4"/>
      <c r="G206" s="4"/>
      <c r="H206" s="5"/>
      <c r="I206" s="8"/>
      <c r="J206" s="5"/>
    </row>
    <row r="207" spans="2:10" ht="20.100000000000001" customHeight="1">
      <c r="B207" s="5"/>
      <c r="C207" s="5"/>
      <c r="D207" s="4"/>
      <c r="E207" s="7"/>
      <c r="F207" s="4"/>
      <c r="G207" s="4"/>
      <c r="H207" s="5"/>
      <c r="I207" s="8"/>
      <c r="J207" s="5"/>
    </row>
  </sheetData>
  <mergeCells count="8">
    <mergeCell ref="B10:J10"/>
    <mergeCell ref="B11:J11"/>
    <mergeCell ref="B12:J12"/>
    <mergeCell ref="B2:J2"/>
    <mergeCell ref="B3:J3"/>
    <mergeCell ref="B4:J4"/>
    <mergeCell ref="B8:J8"/>
    <mergeCell ref="B9:J9"/>
  </mergeCells>
  <phoneticPr fontId="1" type="noConversion"/>
  <dataValidations count="3">
    <dataValidation type="list" showInputMessage="1" showErrorMessage="1" errorTitle="Node position" error="Choose Equal spacing or Date proportional." sqref="C6" xr:uid="{00000000-0002-0000-0100-000001000000}">
      <formula1>"Equal spacing,Date proportional"</formula1>
    </dataValidation>
    <dataValidation type="decimal" showInputMessage="1" showErrorMessage="1" errorTitle="Node spacing" error="Enter a value from 50% to 200%." sqref="C7" xr:uid="{00000000-0002-0000-0100-000002000000}">
      <formula1>0.5</formula1>
      <formula2>2</formula2>
    </dataValidation>
    <dataValidation type="list" allowBlank="1" showInputMessage="1" showErrorMessage="1" errorTitle="Show option" error="Choose Yes or No." sqref="B14:B207" xr:uid="{00000000-0002-0000-0100-000000000000}">
      <formula1>"Yes,No"</formula1>
    </dataValidation>
  </dataValidations>
  <pageMargins left="0.25" right="0.25" top="0.4" bottom="0.4" header="0.2" footer="0.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WBS</vt:lpstr>
      <vt:lpstr>Milestones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Venice Bush</cp:lastModifiedBy>
  <dcterms:created xsi:type="dcterms:W3CDTF">2018-01-15T12:29:28Z</dcterms:created>
  <dcterms:modified xsi:type="dcterms:W3CDTF">2026-09-16T08:15:35Z</dcterms:modified>
</cp:coreProperties>
</file>