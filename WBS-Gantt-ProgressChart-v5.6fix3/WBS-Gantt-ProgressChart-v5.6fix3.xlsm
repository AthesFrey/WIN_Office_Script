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WbsHistoryUI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 Files (x86)\WBS-Gantt-ProgressChart-v5.6fix3\"/>
    </mc:Choice>
  </mc:AlternateContent>
  <xr:revisionPtr revIDLastSave="0" documentId="13_ncr:1_{F0D5613E-FE4F-49C9-A563-3FBE1735C53B}" xr6:coauthVersionLast="47" xr6:coauthVersionMax="47" xr10:uidLastSave="{00000000-0000-0000-0000-000000000000}"/>
  <bookViews>
    <workbookView xWindow="-96" yWindow="-96" windowWidth="23232" windowHeight="13992" activeTab="1" xr2:uid="{00000000-000D-0000-FFFF-FFFF00000000}"/>
  </bookViews>
  <sheets>
    <sheet name="WBS" sheetId="1" r:id="rId1"/>
    <sheet name="Milestones" sheetId="4" r:id="rId2"/>
  </sheets>
  <functionGroups builtInGroupCount="19"/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7" i="4" l="1"/>
  <c r="I27" i="4"/>
  <c r="H27" i="4"/>
  <c r="G27" i="4"/>
  <c r="E27" i="4"/>
  <c r="D27" i="4"/>
  <c r="C27" i="4"/>
  <c r="J26" i="4"/>
  <c r="I26" i="4"/>
  <c r="H26" i="4"/>
  <c r="G26" i="4"/>
  <c r="E26" i="4"/>
  <c r="D26" i="4"/>
  <c r="C26" i="4"/>
  <c r="J25" i="4"/>
  <c r="I25" i="4"/>
  <c r="H25" i="4"/>
  <c r="G25" i="4"/>
  <c r="E25" i="4"/>
  <c r="D25" i="4"/>
  <c r="C25" i="4"/>
  <c r="J24" i="4"/>
  <c r="I24" i="4"/>
  <c r="H24" i="4"/>
  <c r="G24" i="4"/>
  <c r="E24" i="4"/>
  <c r="D24" i="4"/>
  <c r="C24" i="4"/>
  <c r="J22" i="4"/>
  <c r="I22" i="4"/>
  <c r="H22" i="4"/>
  <c r="G22" i="4"/>
  <c r="E22" i="4"/>
  <c r="D22" i="4"/>
  <c r="C22" i="4"/>
  <c r="J21" i="4"/>
  <c r="I21" i="4"/>
  <c r="H21" i="4"/>
  <c r="G21" i="4"/>
  <c r="E21" i="4"/>
  <c r="D21" i="4"/>
  <c r="C21" i="4"/>
  <c r="J18" i="4"/>
  <c r="I18" i="4"/>
  <c r="H18" i="4"/>
  <c r="G18" i="4"/>
  <c r="E18" i="4"/>
  <c r="D18" i="4"/>
  <c r="C18" i="4"/>
  <c r="J17" i="4"/>
  <c r="I17" i="4"/>
  <c r="H17" i="4"/>
  <c r="G17" i="4"/>
  <c r="E17" i="4"/>
  <c r="D17" i="4"/>
  <c r="C17" i="4"/>
  <c r="J16" i="4"/>
  <c r="I16" i="4"/>
  <c r="H16" i="4"/>
  <c r="G16" i="4"/>
  <c r="E16" i="4"/>
  <c r="D16" i="4"/>
  <c r="C16" i="4"/>
  <c r="O9" i="1"/>
  <c r="O10" i="1"/>
  <c r="O11" i="1"/>
  <c r="O13" i="1"/>
  <c r="O14" i="1"/>
  <c r="O16" i="1"/>
  <c r="O17" i="1"/>
  <c r="O18" i="1"/>
  <c r="O19" i="1"/>
</calcChain>
</file>

<file path=xl/sharedStrings.xml><?xml version="1.0" encoding="utf-8"?>
<sst xmlns="http://schemas.openxmlformats.org/spreadsheetml/2006/main" count="167" uniqueCount="79">
  <si>
    <t>No</t>
    <phoneticPr fontId="1" type="noConversion"/>
  </si>
  <si>
    <t>Task</t>
    <phoneticPr fontId="1" type="noConversion"/>
  </si>
  <si>
    <t>Resource</t>
    <phoneticPr fontId="1" type="noConversion"/>
  </si>
  <si>
    <t>Allocation %</t>
    <phoneticPr fontId="1" type="noConversion"/>
  </si>
  <si>
    <t>Deliverable unit</t>
    <phoneticPr fontId="1" type="noConversion"/>
  </si>
  <si>
    <t>Deliverable qty</t>
    <phoneticPr fontId="1" type="noConversion"/>
  </si>
  <si>
    <t>Completed qty</t>
    <phoneticPr fontId="1" type="noConversion"/>
  </si>
  <si>
    <t>Progress</t>
    <phoneticPr fontId="1" type="noConversion"/>
  </si>
  <si>
    <t>Predecessor</t>
    <phoneticPr fontId="1" type="noConversion"/>
  </si>
  <si>
    <t>Planned start</t>
    <phoneticPr fontId="1" type="noConversion"/>
  </si>
  <si>
    <t>Planned end</t>
    <phoneticPr fontId="1" type="noConversion"/>
  </si>
  <si>
    <t>Actual start</t>
    <phoneticPr fontId="1" type="noConversion"/>
  </si>
  <si>
    <t>Actual end</t>
    <phoneticPr fontId="1" type="noConversion"/>
  </si>
  <si>
    <t>Baseline start</t>
    <phoneticPr fontId="1" type="noConversion"/>
  </si>
  <si>
    <t>Baseline end</t>
    <phoneticPr fontId="1" type="noConversion"/>
  </si>
  <si>
    <t>Days</t>
    <phoneticPr fontId="1" type="noConversion"/>
  </si>
  <si>
    <t>Task type</t>
    <phoneticPr fontId="1" type="noConversion"/>
  </si>
  <si>
    <t>Level</t>
    <phoneticPr fontId="1" type="noConversion"/>
  </si>
  <si>
    <t xml:space="preserve">        1.1.2 Characteristics</t>
  </si>
  <si>
    <t xml:space="preserve">        1.1.3 Intuitive interface</t>
  </si>
  <si>
    <t xml:space="preserve">        1.3.1 Program components</t>
  </si>
  <si>
    <t xml:space="preserve">        1.4.1 Preparation</t>
  </si>
  <si>
    <t xml:space="preserve">        1.4.2 Development</t>
  </si>
  <si>
    <t xml:space="preserve">        1.4.4 Release to users</t>
  </si>
  <si>
    <t>Pages</t>
  </si>
  <si>
    <t>Rows</t>
  </si>
  <si>
    <t>Items</t>
  </si>
  <si>
    <t>EV</t>
    <phoneticPr fontId="1" type="noConversion"/>
  </si>
  <si>
    <t>PV</t>
    <phoneticPr fontId="1" type="noConversion"/>
  </si>
  <si>
    <t>AC</t>
    <phoneticPr fontId="1" type="noConversion"/>
  </si>
  <si>
    <t>SPI</t>
    <phoneticPr fontId="1" type="noConversion"/>
  </si>
  <si>
    <t>CPI</t>
    <phoneticPr fontId="1" type="noConversion"/>
  </si>
  <si>
    <t>SV</t>
    <phoneticPr fontId="1" type="noConversion"/>
  </si>
  <si>
    <t>A</t>
  </si>
  <si>
    <t>B</t>
  </si>
  <si>
    <t>C</t>
  </si>
  <si>
    <t>WBS Gantt Planner v5.6fix3</t>
  </si>
  <si>
    <t>Level</t>
  </si>
  <si>
    <t>Select tasks, then choose Level or use Promote / Demote.</t>
  </si>
  <si>
    <t>Wed</t>
  </si>
  <si>
    <t>Thu</t>
  </si>
  <si>
    <t>Fri</t>
  </si>
  <si>
    <t>Sat</t>
  </si>
  <si>
    <t>Sun</t>
  </si>
  <si>
    <t>Mon</t>
  </si>
  <si>
    <t>Tue</t>
  </si>
  <si>
    <t>P</t>
  </si>
  <si>
    <t>T</t>
  </si>
  <si>
    <t>Milestones</t>
  </si>
  <si>
    <t>Enter milestones or import WBS tasks, then Generate.</t>
  </si>
  <si>
    <t>Position</t>
  </si>
  <si>
    <t>Equal spacing</t>
  </si>
  <si>
    <t>Spacing</t>
  </si>
  <si>
    <t>Show = Yes to include. Clear samples before import.</t>
  </si>
  <si>
    <t>Dates: yyyy/m/d, yyyymmdd, or mmdd (year from row above).</t>
  </si>
  <si>
    <t>Show</t>
  </si>
  <si>
    <t>WBS row</t>
  </si>
  <si>
    <t>Milestone name</t>
  </si>
  <si>
    <t>Milestone date</t>
  </si>
  <si>
    <t>Notes / source</t>
  </si>
  <si>
    <t>Owner</t>
  </si>
  <si>
    <t>Progress</t>
  </si>
  <si>
    <t>Status</t>
  </si>
  <si>
    <t>Type</t>
  </si>
  <si>
    <t>Yes</t>
  </si>
  <si>
    <t>Platform overview</t>
  </si>
  <si>
    <t>New features</t>
  </si>
  <si>
    <t>Application structure</t>
  </si>
  <si>
    <t>Application development process</t>
  </si>
  <si>
    <t xml:space="preserve">        1.1.1 Elon Musk</t>
  </si>
  <si>
    <t xml:space="preserve">        1.4.3 Bill Gates</t>
  </si>
  <si>
    <t xml:space="preserve">        1.3.2 Object-oriented Buffet</t>
  </si>
  <si>
    <t xml:space="preserve">    1.2 Benefits of BTC</t>
  </si>
  <si>
    <t>1 Platform overview</t>
  </si>
  <si>
    <t xml:space="preserve">    1.1 New features</t>
  </si>
  <si>
    <t xml:space="preserve">    1.3 Application structure</t>
  </si>
  <si>
    <t xml:space="preserve">    1.4 Application development process</t>
  </si>
  <si>
    <t>Linked to WBS</t>
  </si>
  <si>
    <t>Generated 9 milestones; 2026/9/3 - 2026/10/24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</si>
</sst>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81" formatCode="m/d"/>
    <numFmt numFmtId="182" formatCode="yyyy/m/d"/>
  </numFmts>
  <fonts count="1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20"/>
      <color rgb="FF172033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11"/>
      <color theme="1"/>
      <name val="Microsoft YaHei"/>
      <family val="2"/>
      <charset val="134"/>
    </font>
    <font>
      <sz val="11"/>
      <color rgb="FF172033"/>
      <name val="Microsoft YaHei"/>
      <family val="2"/>
      <charset val="134"/>
    </font>
    <font>
      <b/>
      <sz val="11"/>
      <color theme="1"/>
      <name val="Microsoft YaHei"/>
      <family val="2"/>
      <charset val="134"/>
    </font>
    <font>
      <b/>
      <sz val="11"/>
      <color rgb="FF172033"/>
      <name val="Microsoft YaHei"/>
      <family val="2"/>
      <charset val="134"/>
    </font>
    <font>
      <b/>
      <sz val="10"/>
      <color theme="1"/>
      <name val="Arial"/>
      <family val="2"/>
    </font>
    <font>
      <sz val="11"/>
      <color rgb="FF64748B"/>
      <name val="Microsoft YaHei"/>
      <family val="2"/>
      <charset val="134"/>
    </font>
    <font>
      <sz val="11"/>
      <color rgb="FF0F766E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b/>
      <sz val="11"/>
      <color rgb="FF000000"/>
      <name val="Microsoft YaHei"/>
      <family val="2"/>
      <charset val="134"/>
    </font>
    <font>
      <sz val="11"/>
      <color rgb="FF000000"/>
      <name val="Microsoft YaHei"/>
      <family val="2"/>
      <charset val="134"/>
    </font>
    <font>
      <sz val="11"/>
      <color rgb="FF000000"/>
      <name val="等线"/>
      <family val="2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F0FDF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62C384"/>
        <bgColor indexed="64"/>
      </patternFill>
    </fill>
    <fill>
      <patternFill patternType="solid">
        <fgColor rgb="FFC6DCF6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EFF6FF"/>
        <bgColor rgb="FF000000"/>
      </patternFill>
    </fill>
    <fill>
      <patternFill patternType="solid">
        <fgColor rgb="FFF0FDFA"/>
        <bgColor rgb="FF000000"/>
      </patternFill>
    </fill>
  </fills>
  <borders count="10">
    <border>
      <left/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thin">
        <color rgb="FF8B0000"/>
      </top>
      <bottom/>
      <diagonal/>
    </border>
    <border>
      <left/>
      <right/>
      <top style="medium">
        <color rgb="FF8B0000"/>
      </top>
      <bottom/>
      <diagonal/>
    </border>
    <border>
      <left/>
      <right/>
      <top style="medium">
        <color rgb="FF8B0000"/>
      </top>
      <bottom style="thin">
        <color rgb="FF8B000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 style="medium">
        <color rgb="FF2563EB"/>
      </right>
      <top style="medium">
        <color rgb="FF8B0000"/>
      </top>
      <bottom style="thin">
        <color rgb="FF8B0000"/>
      </bottom>
      <diagonal/>
    </border>
    <border>
      <left/>
      <right style="medium">
        <color rgb="FF2563EB"/>
      </right>
      <top/>
      <bottom/>
      <diagonal/>
    </border>
    <border>
      <left/>
      <right style="medium">
        <color rgb="FF2563EB"/>
      </right>
      <top style="thin">
        <color rgb="FF8B0000"/>
      </top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6" fillId="3" borderId="0" xfId="0" applyNumberFormat="1" applyFont="1" applyFill="1" applyAlignment="1">
      <alignment horizontal="center" vertical="center" wrapText="1"/>
    </xf>
    <xf numFmtId="0" fontId="2" fillId="0" borderId="1" xfId="0" applyNumberFormat="1" applyFont="1" applyBorder="1">
      <alignment vertical="center"/>
    </xf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5" fillId="0" borderId="0" xfId="0" applyNumberFormat="1" applyFont="1" applyFill="1" applyAlignment="1">
      <alignment horizontal="left" vertical="center"/>
    </xf>
    <xf numFmtId="181" fontId="11" fillId="0" borderId="0" xfId="0" applyNumberFormat="1" applyFont="1" applyAlignment="1">
      <alignment horizontal="center" vertical="center"/>
    </xf>
    <xf numFmtId="181" fontId="11" fillId="5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9" fillId="0" borderId="3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4" xfId="0" applyFont="1" applyBorder="1">
      <alignment vertical="center"/>
    </xf>
    <xf numFmtId="0" fontId="9" fillId="5" borderId="4" xfId="0" applyFont="1" applyFill="1" applyBorder="1">
      <alignment vertical="center"/>
    </xf>
    <xf numFmtId="0" fontId="7" fillId="0" borderId="0" xfId="0" applyFont="1">
      <alignment vertical="center"/>
    </xf>
    <xf numFmtId="0" fontId="7" fillId="5" borderId="0" xfId="0" applyFont="1" applyFill="1">
      <alignment vertical="center"/>
    </xf>
    <xf numFmtId="10" fontId="7" fillId="6" borderId="2" xfId="0" applyNumberFormat="1" applyFont="1" applyFill="1" applyBorder="1" applyAlignment="1">
      <alignment horizontal="center" vertical="center" shrinkToFit="1"/>
    </xf>
    <xf numFmtId="10" fontId="7" fillId="6" borderId="0" xfId="0" applyNumberFormat="1" applyFont="1" applyFill="1" applyAlignment="1">
      <alignment horizontal="center" vertical="center" shrinkToFit="1"/>
    </xf>
    <xf numFmtId="10" fontId="7" fillId="6" borderId="0" xfId="0" applyNumberFormat="1" applyFont="1" applyFill="1" applyAlignment="1">
      <alignment horizontal="center" vertical="center" shrinkToFit="1"/>
    </xf>
    <xf numFmtId="10" fontId="7" fillId="7" borderId="2" xfId="0" applyNumberFormat="1" applyFont="1" applyFill="1" applyBorder="1" applyAlignment="1">
      <alignment horizontal="center" vertical="center" shrinkToFit="1"/>
    </xf>
    <xf numFmtId="10" fontId="7" fillId="7" borderId="0" xfId="0" applyNumberFormat="1" applyFont="1" applyFill="1" applyAlignment="1">
      <alignment horizontal="center" vertical="center" shrinkToFit="1"/>
    </xf>
    <xf numFmtId="0" fontId="7" fillId="0" borderId="0" xfId="0" applyFont="1">
      <alignment vertical="center"/>
    </xf>
    <xf numFmtId="0" fontId="12" fillId="0" borderId="0" xfId="0" applyNumberFormat="1" applyFont="1" applyFill="1" applyAlignment="1">
      <alignment horizontal="left" vertical="center" wrapText="1"/>
    </xf>
    <xf numFmtId="0" fontId="12" fillId="0" borderId="0" xfId="0" applyNumberFormat="1" applyFont="1" applyFill="1" applyAlignment="1">
      <alignment horizontal="left" vertical="center" wrapText="1"/>
    </xf>
    <xf numFmtId="0" fontId="13" fillId="4" borderId="0" xfId="0" applyNumberFormat="1" applyFont="1" applyFill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14" fillId="0" borderId="0" xfId="0" applyNumberFormat="1" applyFont="1" applyFill="1" applyBorder="1" applyAlignment="1">
      <alignment vertical="center"/>
    </xf>
    <xf numFmtId="0" fontId="10" fillId="0" borderId="0" xfId="0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 applyAlignment="1">
      <alignment horizontal="left" vertical="center"/>
    </xf>
    <xf numFmtId="0" fontId="17" fillId="0" borderId="0" xfId="0" applyNumberFormat="1" applyFont="1" applyFill="1" applyBorder="1" applyAlignment="1">
      <alignment vertical="center"/>
    </xf>
    <xf numFmtId="0" fontId="3" fillId="8" borderId="5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Border="1" applyAlignment="1">
      <alignment vertical="center"/>
    </xf>
    <xf numFmtId="9" fontId="15" fillId="0" borderId="0" xfId="0" applyNumberFormat="1" applyFont="1" applyFill="1" applyBorder="1" applyAlignment="1">
      <alignment horizontal="center" vertical="center"/>
    </xf>
    <xf numFmtId="182" fontId="15" fillId="0" borderId="0" xfId="0" applyNumberFormat="1" applyFont="1" applyFill="1" applyBorder="1" applyAlignment="1">
      <alignment horizontal="center" vertical="center"/>
    </xf>
    <xf numFmtId="14" fontId="15" fillId="0" borderId="0" xfId="0" applyNumberFormat="1" applyFont="1" applyFill="1" applyBorder="1" applyAlignment="1">
      <alignment vertical="center"/>
    </xf>
    <xf numFmtId="176" fontId="15" fillId="0" borderId="0" xfId="0" applyNumberFormat="1" applyFont="1" applyFill="1" applyBorder="1" applyAlignment="1">
      <alignment horizontal="center" vertical="center"/>
    </xf>
    <xf numFmtId="10" fontId="15" fillId="0" borderId="0" xfId="0" applyNumberFormat="1" applyFont="1" applyFill="1" applyBorder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/>
    </xf>
    <xf numFmtId="9" fontId="15" fillId="0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Border="1" applyAlignment="1">
      <alignment vertical="center" wrapText="1"/>
    </xf>
    <xf numFmtId="0" fontId="16" fillId="0" borderId="0" xfId="0" applyNumberFormat="1" applyFont="1" applyFill="1" applyBorder="1" applyAlignment="1">
      <alignment vertical="center"/>
    </xf>
    <xf numFmtId="9" fontId="16" fillId="0" borderId="0" xfId="0" applyNumberFormat="1" applyFont="1" applyFill="1" applyBorder="1" applyAlignment="1">
      <alignment horizontal="center" vertical="center"/>
    </xf>
    <xf numFmtId="182" fontId="16" fillId="0" borderId="0" xfId="0" applyNumberFormat="1" applyFont="1" applyFill="1" applyBorder="1" applyAlignment="1">
      <alignment horizontal="center" vertical="center"/>
    </xf>
    <xf numFmtId="14" fontId="16" fillId="0" borderId="0" xfId="0" applyNumberFormat="1" applyFont="1" applyFill="1" applyBorder="1" applyAlignment="1">
      <alignment vertical="center"/>
    </xf>
    <xf numFmtId="176" fontId="16" fillId="0" borderId="0" xfId="0" applyNumberFormat="1" applyFont="1" applyFill="1" applyBorder="1" applyAlignment="1">
      <alignment horizontal="center" vertical="center"/>
    </xf>
    <xf numFmtId="10" fontId="16" fillId="0" borderId="0" xfId="0" applyNumberFormat="1" applyFont="1" applyFill="1" applyBorder="1" applyAlignment="1">
      <alignment horizontal="center" vertical="center"/>
    </xf>
    <xf numFmtId="0" fontId="16" fillId="9" borderId="0" xfId="0" applyNumberFormat="1" applyFont="1" applyFill="1" applyBorder="1" applyAlignment="1">
      <alignment horizontal="center" vertical="center"/>
    </xf>
    <xf numFmtId="0" fontId="9" fillId="0" borderId="7" xfId="0" applyFont="1" applyBorder="1">
      <alignment vertical="center"/>
    </xf>
    <xf numFmtId="0" fontId="7" fillId="0" borderId="8" xfId="0" applyFont="1" applyBorder="1">
      <alignment vertical="center"/>
    </xf>
    <xf numFmtId="10" fontId="7" fillId="7" borderId="9" xfId="0" applyNumberFormat="1" applyFont="1" applyFill="1" applyBorder="1" applyAlignment="1">
      <alignment horizontal="center" vertical="center" shrinkToFit="1"/>
    </xf>
    <xf numFmtId="0" fontId="8" fillId="10" borderId="0" xfId="0" applyNumberFormat="1" applyFont="1" applyFill="1" applyBorder="1" applyAlignment="1">
      <alignment horizontal="center" vertical="center"/>
    </xf>
    <xf numFmtId="0" fontId="8" fillId="10" borderId="0" xfId="0" applyNumberFormat="1" applyFont="1" applyFill="1" applyBorder="1" applyAlignment="1">
      <alignment horizontal="left" vertical="center" wrapText="1"/>
    </xf>
    <xf numFmtId="182" fontId="8" fillId="10" borderId="0" xfId="0" applyNumberFormat="1" applyFont="1" applyFill="1" applyBorder="1" applyAlignment="1">
      <alignment horizontal="left" vertical="center"/>
    </xf>
    <xf numFmtId="10" fontId="8" fillId="10" borderId="0" xfId="0" applyNumberFormat="1" applyFont="1" applyFill="1" applyBorder="1" applyAlignment="1">
      <alignment horizontal="center" vertical="center"/>
    </xf>
    <xf numFmtId="0" fontId="13" fillId="11" borderId="0" xfId="0" applyNumberFormat="1" applyFont="1" applyFill="1" applyBorder="1" applyAlignment="1">
      <alignment horizontal="left" vertical="center" wrapText="1"/>
    </xf>
    <xf numFmtId="14" fontId="8" fillId="10" borderId="0" xfId="0" applyNumberFormat="1" applyFont="1" applyFill="1" applyBorder="1" applyAlignment="1">
      <alignment horizontal="left" vertical="center"/>
    </xf>
    <xf numFmtId="9" fontId="8" fillId="10" borderId="0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66"/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17500" y="698500"/>
    <xdr:ext cx="1117600" cy="317500"/>
    <xdr:sp macro="[0]!ProgressChart.UndoWbs" textlink="">
      <xdr:nvSpPr>
        <xdr:cNvPr id="2008" name="PG_Button_UndoWbs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>
        <a:xfrm>
          <a:off x="317500" y="698500"/>
          <a:ext cx="1117600" cy="317500"/>
        </a:xfrm>
        <a:prstGeom prst="roundRect">
          <a:avLst/>
        </a:prstGeom>
        <a:solidFill>
          <a:srgbClr val="94A3B8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Undo (0)</a:t>
          </a:r>
          <a:endParaRPr lang="en-US" sz="1000"/>
        </a:p>
      </xdr:txBody>
    </xdr:sp>
    <xdr:clientData fPrintsWithSheet="0"/>
  </xdr:absoluteAnchor>
  <xdr:absoluteAnchor>
    <xdr:pos x="1536700" y="698500"/>
    <xdr:ext cx="1117600" cy="317500"/>
    <xdr:sp macro="[0]!ProgressChart.RedoWbs" textlink="">
      <xdr:nvSpPr>
        <xdr:cNvPr id="2009" name="PG_Button_RedoWbs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>
        <a:xfrm>
          <a:off x="1536700" y="698500"/>
          <a:ext cx="1117600" cy="317500"/>
        </a:xfrm>
        <a:prstGeom prst="roundRect">
          <a:avLst/>
        </a:prstGeom>
        <a:solidFill>
          <a:srgbClr val="94A3B8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Redo (0)</a:t>
          </a:r>
          <a:endParaRPr lang="en-US" sz="1000"/>
        </a:p>
      </xdr:txBody>
    </xdr:sp>
    <xdr:clientData fPrintsWithSheet="0"/>
  </xdr:absoluteAnchor>
  <xdr:absoluteAnchor>
    <xdr:pos x="2755900" y="698500"/>
    <xdr:ext cx="1371600" cy="317500"/>
    <xdr:sp macro="[0]!ProgressChart.UpdateGantt" textlink="">
      <xdr:nvSpPr>
        <xdr:cNvPr id="2000" name="PG_Button_UpdateGantt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>
        <a:xfrm>
          <a:off x="2755900" y="698500"/>
          <a:ext cx="13716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Update Gantt</a:t>
          </a:r>
          <a:endParaRPr lang="en-US" sz="1000"/>
        </a:p>
      </xdr:txBody>
    </xdr:sp>
    <xdr:clientData fPrintsWithSheet="0"/>
  </xdr:absoluteAnchor>
  <xdr:absoluteAnchor>
    <xdr:pos x="4229100" y="698500"/>
    <xdr:ext cx="1574800" cy="317500"/>
    <xdr:sp macro="[0]!ProgressChart.OpenProgressChart" textlink="">
      <xdr:nvSpPr>
        <xdr:cNvPr id="2001" name="PG_Button_OpenProgressChart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>
        <a:xfrm>
          <a:off x="4229100" y="698500"/>
          <a:ext cx="15748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Open Milestones</a:t>
          </a:r>
          <a:endParaRPr lang="en-US" sz="1000"/>
        </a:p>
      </xdr:txBody>
    </xdr:sp>
    <xdr:clientData fPrintsWithSheet="0"/>
  </xdr:absoluteAnchor>
  <xdr:absoluteAnchor>
    <xdr:pos x="5905500" y="698500"/>
    <xdr:ext cx="1968500" cy="317500"/>
    <xdr:sp macro="[0]!ProgressChart.ImportSelectedMilestones" textlink="">
      <xdr:nvSpPr>
        <xdr:cNvPr id="2002" name="PG_Button_ImportSelectedMilestones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>
        <a:xfrm>
          <a:off x="5905500" y="698500"/>
          <a:ext cx="1968500" cy="317500"/>
        </a:xfrm>
        <a:prstGeom prst="roundRect">
          <a:avLst/>
        </a:prstGeom>
        <a:solidFill>
          <a:srgbClr val="0F766E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Import Selected Tasks</a:t>
          </a:r>
          <a:endParaRPr lang="en-US" sz="1000"/>
        </a:p>
      </xdr:txBody>
    </xdr:sp>
    <xdr:clientData fPrintsWithSheet="0"/>
  </xdr:absoluteAnchor>
  <xdr:absoluteAnchor>
    <xdr:pos x="7975600" y="698500"/>
    <xdr:ext cx="1193800" cy="317500"/>
    <xdr:sp macro="[0]!ProgressChart.RefreshAll" textlink="">
      <xdr:nvSpPr>
        <xdr:cNvPr id="2003" name="PG_Button_RefreshAll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>
        <a:xfrm>
          <a:off x="7975600" y="698500"/>
          <a:ext cx="1193800" cy="317500"/>
        </a:xfrm>
        <a:prstGeom prst="roundRect">
          <a:avLst/>
        </a:prstGeom>
        <a:solidFill>
          <a:srgbClr val="7C3AED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Refresh All</a:t>
          </a:r>
          <a:endParaRPr lang="en-US" sz="1000"/>
        </a:p>
      </xdr:txBody>
    </xdr:sp>
    <xdr:clientData fPrintsWithSheet="0"/>
  </xdr:absoluteAnchor>
  <xdr:absoluteAnchor>
    <xdr:pos x="9271000" y="698500"/>
    <xdr:ext cx="1079500" cy="317500"/>
    <xdr:sp macro="[0]!ProgressChart.AddTask" textlink="">
      <xdr:nvSpPr>
        <xdr:cNvPr id="2004" name="PG_Button_AddTask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>
        <a:xfrm>
          <a:off x="9271000" y="698500"/>
          <a:ext cx="10795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Add Task</a:t>
          </a:r>
          <a:endParaRPr lang="en-US" sz="1000"/>
        </a:p>
      </xdr:txBody>
    </xdr:sp>
    <xdr:clientData fPrintsWithSheet="0"/>
  </xdr:absoluteAnchor>
  <xdr:absoluteAnchor>
    <xdr:pos x="10452100" y="698500"/>
    <xdr:ext cx="1320800" cy="317500"/>
    <xdr:sp macro="[0]!ProgressChart.AddSubtask" textlink="">
      <xdr:nvSpPr>
        <xdr:cNvPr id="2005" name="PG_Button_AddSubtask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>
        <a:xfrm>
          <a:off x="10452100" y="698500"/>
          <a:ext cx="1320800" cy="317500"/>
        </a:xfrm>
        <a:prstGeom prst="roundRect">
          <a:avLst/>
        </a:prstGeom>
        <a:solidFill>
          <a:srgbClr val="0F766E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Add Subtask</a:t>
          </a:r>
          <a:endParaRPr lang="en-US" sz="1000"/>
        </a:p>
      </xdr:txBody>
    </xdr:sp>
    <xdr:clientData fPrintsWithSheet="0"/>
  </xdr:absoluteAnchor>
  <xdr:absoluteAnchor>
    <xdr:pos x="11874500" y="698500"/>
    <xdr:ext cx="1308100" cy="317500"/>
    <xdr:sp macro="[0]!ProgressChart.PromoteTasks" textlink="">
      <xdr:nvSpPr>
        <xdr:cNvPr id="2006" name="PG_Button_PromoteTasks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>
        <a:xfrm>
          <a:off x="11874500" y="698500"/>
          <a:ext cx="1308100" cy="317500"/>
        </a:xfrm>
        <a:prstGeom prst="roundRect">
          <a:avLst/>
        </a:prstGeom>
        <a:solidFill>
          <a:srgbClr val="47556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Promote (-1)</a:t>
          </a:r>
          <a:endParaRPr lang="en-US" sz="1000"/>
        </a:p>
      </xdr:txBody>
    </xdr:sp>
    <xdr:clientData fPrintsWithSheet="0"/>
  </xdr:absoluteAnchor>
  <xdr:absoluteAnchor>
    <xdr:pos x="13284200" y="698500"/>
    <xdr:ext cx="1308100" cy="317500"/>
    <xdr:sp macro="[0]!ProgressChart.DemoteTasks" textlink="">
      <xdr:nvSpPr>
        <xdr:cNvPr id="2007" name="PG_Button_DemoteTasks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>
        <a:xfrm>
          <a:off x="13284200" y="698500"/>
          <a:ext cx="1308100" cy="317500"/>
        </a:xfrm>
        <a:prstGeom prst="roundRect">
          <a:avLst/>
        </a:prstGeom>
        <a:solidFill>
          <a:srgbClr val="47556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Demote (+1)</a:t>
          </a:r>
          <a:endParaRPr lang="en-US" sz="1000"/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17500" y="1181100"/>
    <xdr:ext cx="2171700" cy="317500"/>
    <xdr:sp macro="[0]!ProgressChart.GenerateProgressChart" textlink="">
      <xdr:nvSpPr>
        <xdr:cNvPr id="2" name="PG_Button_GenerateProgress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7500" y="1181100"/>
          <a:ext cx="21717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Generate / Refresh Chart</a:t>
          </a:r>
          <a:endParaRPr lang="en-US" sz="1000"/>
        </a:p>
      </xdr:txBody>
    </xdr:sp>
    <xdr:clientData fPrintsWithSheet="0"/>
  </xdr:absoluteAnchor>
  <xdr:absoluteAnchor>
    <xdr:pos x="2641600" y="1181100"/>
    <xdr:ext cx="1447800" cy="317500"/>
    <xdr:sp macro="[0]!ProgressChart.CopyProgressChart" textlink="">
      <xdr:nvSpPr>
        <xdr:cNvPr id="3" name="PG_Button_CopyProgress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641600" y="1181100"/>
          <a:ext cx="1447800" cy="317500"/>
        </a:xfrm>
        <a:prstGeom prst="roundRect">
          <a:avLst/>
        </a:prstGeom>
        <a:solidFill>
          <a:srgbClr val="0F766E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Copy Chart</a:t>
          </a:r>
          <a:endParaRPr lang="en-US" sz="1000"/>
        </a:p>
      </xdr:txBody>
    </xdr:sp>
    <xdr:clientData fPrintsWithSheet="0"/>
  </xdr:absoluteAnchor>
  <xdr:absoluteAnchor>
    <xdr:pos x="4254500" y="1181100"/>
    <xdr:ext cx="1587500" cy="317500"/>
    <xdr:sp macro="[0]!ProgressChart.WidenProgressChart" textlink="">
      <xdr:nvSpPr>
        <xdr:cNvPr id="4" name="PG_Button_WidenProgress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254500" y="1181100"/>
          <a:ext cx="1587500" cy="317500"/>
        </a:xfrm>
        <a:prstGeom prst="roundRect">
          <a:avLst/>
        </a:prstGeom>
        <a:solidFill>
          <a:srgbClr val="7C3AED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Widen Spacing</a:t>
          </a:r>
          <a:endParaRPr lang="en-US" sz="1000"/>
        </a:p>
      </xdr:txBody>
    </xdr:sp>
    <xdr:clientData fPrintsWithSheet="0"/>
  </xdr:absoluteAnchor>
  <xdr:absoluteAnchor>
    <xdr:pos x="5994400" y="1181100"/>
    <xdr:ext cx="1587500" cy="317500"/>
    <xdr:sp macro="[0]!ProgressChart.NarrowProgressChart" textlink="">
      <xdr:nvSpPr>
        <xdr:cNvPr id="5" name="PG_Button_NarrowProgress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994400" y="1181100"/>
          <a:ext cx="1587500" cy="317500"/>
        </a:xfrm>
        <a:prstGeom prst="roundRect">
          <a:avLst/>
        </a:prstGeom>
        <a:solidFill>
          <a:srgbClr val="64748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Narrow Spacing</a:t>
          </a:r>
          <a:endParaRPr lang="en-US" sz="1000"/>
        </a:p>
      </xdr:txBody>
    </xdr:sp>
    <xdr:clientData fPrintsWithSheet="0"/>
  </xdr:absoluteAnchor>
  <xdr:absoluteAnchor>
    <xdr:pos x="317500" y="2984500"/>
    <xdr:ext cx="1117600" cy="317500"/>
    <xdr:sp macro="[0]!ProgressChart.UndoMilestones" textlink="">
      <xdr:nvSpPr>
        <xdr:cNvPr id="100" name="PG_Button_UndoMilestones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317500" y="2984500"/>
          <a:ext cx="11176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Undo (3)</a:t>
          </a:r>
          <a:endParaRPr lang="en-US" sz="1000"/>
        </a:p>
      </xdr:txBody>
    </xdr:sp>
    <xdr:clientData fPrintsWithSheet="0"/>
  </xdr:absoluteAnchor>
  <xdr:absoluteAnchor>
    <xdr:pos x="1536700" y="2984500"/>
    <xdr:ext cx="1117600" cy="317500"/>
    <xdr:sp macro="[0]!ProgressChart.RedoMilestones" textlink="">
      <xdr:nvSpPr>
        <xdr:cNvPr id="101" name="PG_Button_RedoMilestones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1536700" y="2984500"/>
          <a:ext cx="1117600" cy="317500"/>
        </a:xfrm>
        <a:prstGeom prst="roundRect">
          <a:avLst/>
        </a:prstGeom>
        <a:solidFill>
          <a:srgbClr val="94A3B8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Redo (0)</a:t>
          </a:r>
          <a:endParaRPr lang="en-US" sz="1000"/>
        </a:p>
      </xdr:txBody>
    </xdr:sp>
    <xdr:clientData fPrintsWithSheet="0"/>
  </xdr:absoluteAnchor>
  <xdr:absoluteAnchor>
    <xdr:pos x="2755900" y="2984500"/>
    <xdr:ext cx="1270000" cy="317500"/>
    <xdr:sp macro="[0]!ProgressChart.DeleteMilestoneLevel1" textlink="">
      <xdr:nvSpPr>
        <xdr:cNvPr id="102" name="PG_Button_DeleteMilestoneLevel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2755900" y="2984500"/>
          <a:ext cx="1270000" cy="317500"/>
        </a:xfrm>
        <a:prstGeom prst="roundRect">
          <a:avLst/>
        </a:prstGeom>
        <a:solidFill>
          <a:srgbClr val="B4530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Delete Level 1</a:t>
          </a:r>
          <a:endParaRPr lang="en-US" sz="1000"/>
        </a:p>
      </xdr:txBody>
    </xdr:sp>
    <xdr:clientData fPrintsWithSheet="0"/>
  </xdr:absoluteAnchor>
  <xdr:absoluteAnchor>
    <xdr:pos x="4127500" y="2984500"/>
    <xdr:ext cx="1270000" cy="317500"/>
    <xdr:sp macro="[0]!ProgressChart.DeleteMilestoneLevel2" textlink="">
      <xdr:nvSpPr>
        <xdr:cNvPr id="103" name="PG_Button_DeleteMilestoneLevel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4127500" y="2984500"/>
          <a:ext cx="1270000" cy="317500"/>
        </a:xfrm>
        <a:prstGeom prst="roundRect">
          <a:avLst/>
        </a:prstGeom>
        <a:solidFill>
          <a:srgbClr val="B4530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Delete Level 2</a:t>
          </a:r>
          <a:endParaRPr lang="en-US" sz="1000"/>
        </a:p>
      </xdr:txBody>
    </xdr:sp>
    <xdr:clientData fPrintsWithSheet="0"/>
  </xdr:absoluteAnchor>
  <xdr:absoluteAnchor>
    <xdr:pos x="5499100" y="2984500"/>
    <xdr:ext cx="1270000" cy="317500"/>
    <xdr:sp macro="[0]!ProgressChart.DeleteMilestoneLevel3" textlink="">
      <xdr:nvSpPr>
        <xdr:cNvPr id="104" name="PG_Button_DeleteMilestoneLevel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5499100" y="2984500"/>
          <a:ext cx="1270000" cy="317500"/>
        </a:xfrm>
        <a:prstGeom prst="roundRect">
          <a:avLst/>
        </a:prstGeom>
        <a:solidFill>
          <a:srgbClr val="B4530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Delete Level 3</a:t>
          </a:r>
          <a:endParaRPr lang="en-US" sz="1000"/>
        </a:p>
      </xdr:txBody>
    </xdr:sp>
    <xdr:clientData fPrintsWithSheet="0"/>
  </xdr:absoluteAnchor>
  <xdr:absoluteAnchor>
    <xdr:pos x="6870700" y="2984500"/>
    <xdr:ext cx="1270000" cy="317500"/>
    <xdr:sp macro="[0]!ProgressChart.DeleteMilestoneLevel4" textlink="">
      <xdr:nvSpPr>
        <xdr:cNvPr id="105" name="PG_Button_DeleteMilestoneLevel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6870700" y="2984500"/>
          <a:ext cx="1270000" cy="317500"/>
        </a:xfrm>
        <a:prstGeom prst="roundRect">
          <a:avLst/>
        </a:prstGeom>
        <a:solidFill>
          <a:srgbClr val="B4530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Delete Level 4</a:t>
          </a:r>
          <a:endParaRPr lang="en-US" sz="1000"/>
        </a:p>
      </xdr:txBody>
    </xdr:sp>
    <xdr:clientData fPrintsWithSheet="0"/>
  </xdr:absoluteAnchor>
  <xdr:absoluteAnchor>
    <xdr:pos x="8242300" y="2984500"/>
    <xdr:ext cx="1270000" cy="317500"/>
    <xdr:sp macro="[0]!ProgressChart.DeleteMilestoneLevel5" textlink="">
      <xdr:nvSpPr>
        <xdr:cNvPr id="106" name="PG_Button_DeleteMilestoneLevel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8242300" y="2984500"/>
          <a:ext cx="1270000" cy="317500"/>
        </a:xfrm>
        <a:prstGeom prst="roundRect">
          <a:avLst/>
        </a:prstGeom>
        <a:solidFill>
          <a:srgbClr val="B4530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Delete Level 5</a:t>
          </a:r>
          <a:endParaRPr lang="en-US" sz="1000"/>
        </a:p>
      </xdr:txBody>
    </xdr:sp>
    <xdr:clientData fPrintsWithSheet="0"/>
  </xdr:absoluteAnchor>
  <xdr:twoCellAnchor editAs="absolute">
    <xdr:from>
      <xdr:col>11</xdr:col>
      <xdr:colOff>0</xdr:colOff>
      <xdr:row>2</xdr:row>
      <xdr:rowOff>0</xdr:rowOff>
    </xdr:from>
    <xdr:to>
      <xdr:col>18</xdr:col>
      <xdr:colOff>171450</xdr:colOff>
      <xdr:row>10</xdr:row>
      <xdr:rowOff>233680</xdr:rowOff>
    </xdr:to>
    <xdr:grpSp>
      <xdr:nvGrpSpPr>
        <xdr:cNvPr id="216" name="WBS_ProgressChart" descr="Milestones: sorted by date, Equal spacing, 9 milestones in 9 dates.">
          <a:extLst>
            <a:ext uri="{FF2B5EF4-FFF2-40B4-BE49-F238E27FC236}">
              <a16:creationId xmlns:a16="http://schemas.microsoft.com/office/drawing/2014/main" id="{39641176-0D43-4E44-8A55-9A352550B2BD}"/>
            </a:ext>
          </a:extLst>
        </xdr:cNvPr>
        <xdr:cNvGrpSpPr/>
      </xdr:nvGrpSpPr>
      <xdr:grpSpPr>
        <a:xfrm>
          <a:off x="12839700" y="538843"/>
          <a:ext cx="6572250" cy="2595880"/>
          <a:chOff x="12839700" y="537210"/>
          <a:chExt cx="6572250" cy="2603500"/>
        </a:xfrm>
      </xdr:grpSpPr>
      <xdr:sp macro="" textlink="">
        <xdr:nvSpPr>
          <xdr:cNvPr id="197" name="WBS_PG_TMP_SHAPE_197">
            <a:extLst>
              <a:ext uri="{FF2B5EF4-FFF2-40B4-BE49-F238E27FC236}">
                <a16:creationId xmlns:a16="http://schemas.microsoft.com/office/drawing/2014/main" id="{B69B842F-A97F-4B96-86E1-76C4E77164EA}"/>
              </a:ext>
            </a:extLst>
          </xdr:cNvPr>
          <xdr:cNvSpPr/>
        </xdr:nvSpPr>
        <xdr:spPr>
          <a:xfrm>
            <a:off x="12839700" y="537210"/>
            <a:ext cx="6572250" cy="2603500"/>
          </a:xfrm>
          <a:prstGeom prst="rect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cxnSp macro="">
        <xdr:nvCxnSpPr>
          <xdr:cNvPr id="213" name="WBS_PG_TMP_SHAPE_213">
            <a:extLst>
              <a:ext uri="{FF2B5EF4-FFF2-40B4-BE49-F238E27FC236}">
                <a16:creationId xmlns:a16="http://schemas.microsoft.com/office/drawing/2014/main" id="{6B428819-3EB4-4EF6-83F4-71191631AC62}"/>
              </a:ext>
            </a:extLst>
          </xdr:cNvPr>
          <xdr:cNvCxnSpPr/>
        </xdr:nvCxnSpPr>
        <xdr:spPr>
          <a:xfrm flipV="1">
            <a:off x="18130309" y="1181100"/>
            <a:ext cx="0" cy="292100"/>
          </a:xfrm>
          <a:prstGeom prst="line">
            <a:avLst/>
          </a:prstGeom>
          <a:ln w="6350">
            <a:solidFill>
              <a:srgbClr val="94A3B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2" name="WBS_PG_TMP_SHAPE_212">
            <a:extLst>
              <a:ext uri="{FF2B5EF4-FFF2-40B4-BE49-F238E27FC236}">
                <a16:creationId xmlns:a16="http://schemas.microsoft.com/office/drawing/2014/main" id="{46501572-3645-4E20-8554-100393252FEF}"/>
              </a:ext>
            </a:extLst>
          </xdr:cNvPr>
          <xdr:cNvCxnSpPr/>
        </xdr:nvCxnSpPr>
        <xdr:spPr>
          <a:xfrm>
            <a:off x="18130309" y="1743710"/>
            <a:ext cx="0" cy="717550"/>
          </a:xfrm>
          <a:prstGeom prst="line">
            <a:avLst/>
          </a:prstGeom>
          <a:ln w="6350">
            <a:solidFill>
              <a:srgbClr val="94A3B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9" name="WBS_PG_TMP_SHAPE_209">
            <a:extLst>
              <a:ext uri="{FF2B5EF4-FFF2-40B4-BE49-F238E27FC236}">
                <a16:creationId xmlns:a16="http://schemas.microsoft.com/office/drawing/2014/main" id="{FC0053BE-34E9-4A76-BAC6-33C3B5E9FA97}"/>
              </a:ext>
            </a:extLst>
          </xdr:cNvPr>
          <xdr:cNvCxnSpPr/>
        </xdr:nvCxnSpPr>
        <xdr:spPr>
          <a:xfrm flipV="1">
            <a:off x="16793986" y="1181100"/>
            <a:ext cx="0" cy="292100"/>
          </a:xfrm>
          <a:prstGeom prst="line">
            <a:avLst/>
          </a:prstGeom>
          <a:ln w="6350">
            <a:solidFill>
              <a:srgbClr val="94A3B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8" name="WBS_PG_TMP_SHAPE_208">
            <a:extLst>
              <a:ext uri="{FF2B5EF4-FFF2-40B4-BE49-F238E27FC236}">
                <a16:creationId xmlns:a16="http://schemas.microsoft.com/office/drawing/2014/main" id="{F3C97617-1C22-430F-8B57-2EC71D183F5A}"/>
              </a:ext>
            </a:extLst>
          </xdr:cNvPr>
          <xdr:cNvCxnSpPr/>
        </xdr:nvCxnSpPr>
        <xdr:spPr>
          <a:xfrm>
            <a:off x="16793986" y="1743710"/>
            <a:ext cx="0" cy="717550"/>
          </a:xfrm>
          <a:prstGeom prst="line">
            <a:avLst/>
          </a:prstGeom>
          <a:ln w="6350">
            <a:solidFill>
              <a:srgbClr val="94A3B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" name="WBS_PG_TMP_SHAPE_205">
            <a:extLst>
              <a:ext uri="{FF2B5EF4-FFF2-40B4-BE49-F238E27FC236}">
                <a16:creationId xmlns:a16="http://schemas.microsoft.com/office/drawing/2014/main" id="{2EE72B47-D748-4849-825A-7485FDA2420F}"/>
              </a:ext>
            </a:extLst>
          </xdr:cNvPr>
          <xdr:cNvCxnSpPr/>
        </xdr:nvCxnSpPr>
        <xdr:spPr>
          <a:xfrm flipV="1">
            <a:off x="15457664" y="1181100"/>
            <a:ext cx="0" cy="292100"/>
          </a:xfrm>
          <a:prstGeom prst="line">
            <a:avLst/>
          </a:prstGeom>
          <a:ln w="6350">
            <a:solidFill>
              <a:srgbClr val="94A3B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WBS_PG_TMP_SHAPE_204">
            <a:extLst>
              <a:ext uri="{FF2B5EF4-FFF2-40B4-BE49-F238E27FC236}">
                <a16:creationId xmlns:a16="http://schemas.microsoft.com/office/drawing/2014/main" id="{98B8761C-EE49-46AF-9E0A-AE8E33BDD53B}"/>
              </a:ext>
            </a:extLst>
          </xdr:cNvPr>
          <xdr:cNvCxnSpPr/>
        </xdr:nvCxnSpPr>
        <xdr:spPr>
          <a:xfrm>
            <a:off x="15457664" y="1743710"/>
            <a:ext cx="0" cy="717550"/>
          </a:xfrm>
          <a:prstGeom prst="line">
            <a:avLst/>
          </a:prstGeom>
          <a:ln w="6350">
            <a:solidFill>
              <a:srgbClr val="94A3B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WBS_PG_TMP_SHAPE_201">
            <a:extLst>
              <a:ext uri="{FF2B5EF4-FFF2-40B4-BE49-F238E27FC236}">
                <a16:creationId xmlns:a16="http://schemas.microsoft.com/office/drawing/2014/main" id="{EBC7894A-936B-4662-8383-4C2FB8A0D6AB}"/>
              </a:ext>
            </a:extLst>
          </xdr:cNvPr>
          <xdr:cNvCxnSpPr/>
        </xdr:nvCxnSpPr>
        <xdr:spPr>
          <a:xfrm flipV="1">
            <a:off x="14121341" y="1181100"/>
            <a:ext cx="0" cy="292100"/>
          </a:xfrm>
          <a:prstGeom prst="line">
            <a:avLst/>
          </a:prstGeom>
          <a:ln w="6350">
            <a:solidFill>
              <a:srgbClr val="94A3B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WBS_PG_TMP_SHAPE_200">
            <a:extLst>
              <a:ext uri="{FF2B5EF4-FFF2-40B4-BE49-F238E27FC236}">
                <a16:creationId xmlns:a16="http://schemas.microsoft.com/office/drawing/2014/main" id="{EDE31D73-8B04-4F74-86DC-BA9A1F6A77AC}"/>
              </a:ext>
            </a:extLst>
          </xdr:cNvPr>
          <xdr:cNvCxnSpPr/>
        </xdr:nvCxnSpPr>
        <xdr:spPr>
          <a:xfrm>
            <a:off x="14121341" y="1743710"/>
            <a:ext cx="0" cy="717550"/>
          </a:xfrm>
          <a:prstGeom prst="line">
            <a:avLst/>
          </a:prstGeom>
          <a:ln w="6350">
            <a:solidFill>
              <a:srgbClr val="94A3B8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9" name="WBS_PG_TMP_SHAPE_179">
            <a:extLst>
              <a:ext uri="{FF2B5EF4-FFF2-40B4-BE49-F238E27FC236}">
                <a16:creationId xmlns:a16="http://schemas.microsoft.com/office/drawing/2014/main" id="{C86FDDD5-3FCC-4BFF-9EE8-483B02F4805E}"/>
              </a:ext>
            </a:extLst>
          </xdr:cNvPr>
          <xdr:cNvSpPr txBox="1"/>
        </xdr:nvSpPr>
        <xdr:spPr>
          <a:xfrm>
            <a:off x="13046780" y="185801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Elon Musk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0" name="WBS_PG_TMP_SHAPE_180">
            <a:extLst>
              <a:ext uri="{FF2B5EF4-FFF2-40B4-BE49-F238E27FC236}">
                <a16:creationId xmlns:a16="http://schemas.microsoft.com/office/drawing/2014/main" id="{8653F1A5-A08D-453F-978A-7187447ADF43}"/>
              </a:ext>
            </a:extLst>
          </xdr:cNvPr>
          <xdr:cNvSpPr txBox="1"/>
        </xdr:nvSpPr>
        <xdr:spPr>
          <a:xfrm>
            <a:off x="13122980" y="12954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9/3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1" name="WBS_PG_TMP_SHAPE_181">
            <a:extLst>
              <a:ext uri="{FF2B5EF4-FFF2-40B4-BE49-F238E27FC236}">
                <a16:creationId xmlns:a16="http://schemas.microsoft.com/office/drawing/2014/main" id="{C63E4768-D4E9-466C-867B-5CB914131C18}"/>
              </a:ext>
            </a:extLst>
          </xdr:cNvPr>
          <xdr:cNvSpPr txBox="1"/>
        </xdr:nvSpPr>
        <xdr:spPr>
          <a:xfrm>
            <a:off x="13714941" y="249936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Characteristics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2" name="WBS_PG_TMP_SHAPE_182">
            <a:extLst>
              <a:ext uri="{FF2B5EF4-FFF2-40B4-BE49-F238E27FC236}">
                <a16:creationId xmlns:a16="http://schemas.microsoft.com/office/drawing/2014/main" id="{EC44EE33-8033-45D1-B040-390E3EB47538}"/>
              </a:ext>
            </a:extLst>
          </xdr:cNvPr>
          <xdr:cNvSpPr txBox="1"/>
        </xdr:nvSpPr>
        <xdr:spPr>
          <a:xfrm>
            <a:off x="13791141" y="9906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9/4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3" name="WBS_PG_TMP_SHAPE_183">
            <a:extLst>
              <a:ext uri="{FF2B5EF4-FFF2-40B4-BE49-F238E27FC236}">
                <a16:creationId xmlns:a16="http://schemas.microsoft.com/office/drawing/2014/main" id="{3ABC9CF1-4519-4A97-8490-3978C0EE15D7}"/>
              </a:ext>
            </a:extLst>
          </xdr:cNvPr>
          <xdr:cNvSpPr txBox="1"/>
        </xdr:nvSpPr>
        <xdr:spPr>
          <a:xfrm>
            <a:off x="14383103" y="185801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Intuitive interface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4" name="WBS_PG_TMP_SHAPE_184">
            <a:extLst>
              <a:ext uri="{FF2B5EF4-FFF2-40B4-BE49-F238E27FC236}">
                <a16:creationId xmlns:a16="http://schemas.microsoft.com/office/drawing/2014/main" id="{DF483AF2-B1B3-4BB3-9618-2CC007793D58}"/>
              </a:ext>
            </a:extLst>
          </xdr:cNvPr>
          <xdr:cNvSpPr txBox="1"/>
        </xdr:nvSpPr>
        <xdr:spPr>
          <a:xfrm>
            <a:off x="14459303" y="12954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9/7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5" name="WBS_PG_TMP_SHAPE_185">
            <a:extLst>
              <a:ext uri="{FF2B5EF4-FFF2-40B4-BE49-F238E27FC236}">
                <a16:creationId xmlns:a16="http://schemas.microsoft.com/office/drawing/2014/main" id="{5FD2F582-7995-478C-8450-5957571A1614}"/>
              </a:ext>
            </a:extLst>
          </xdr:cNvPr>
          <xdr:cNvSpPr txBox="1"/>
        </xdr:nvSpPr>
        <xdr:spPr>
          <a:xfrm>
            <a:off x="15051264" y="249936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Program components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6" name="WBS_PG_TMP_SHAPE_186">
            <a:extLst>
              <a:ext uri="{FF2B5EF4-FFF2-40B4-BE49-F238E27FC236}">
                <a16:creationId xmlns:a16="http://schemas.microsoft.com/office/drawing/2014/main" id="{48340839-B923-4DC9-9E4B-AF0043903793}"/>
              </a:ext>
            </a:extLst>
          </xdr:cNvPr>
          <xdr:cNvSpPr txBox="1"/>
        </xdr:nvSpPr>
        <xdr:spPr>
          <a:xfrm>
            <a:off x="15127464" y="9906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9/23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7" name="WBS_PG_TMP_SHAPE_187">
            <a:extLst>
              <a:ext uri="{FF2B5EF4-FFF2-40B4-BE49-F238E27FC236}">
                <a16:creationId xmlns:a16="http://schemas.microsoft.com/office/drawing/2014/main" id="{BE8B8AF4-622C-4F95-A202-27C2D1ECF0A6}"/>
              </a:ext>
            </a:extLst>
          </xdr:cNvPr>
          <xdr:cNvSpPr txBox="1"/>
        </xdr:nvSpPr>
        <xdr:spPr>
          <a:xfrm>
            <a:off x="15719425" y="185801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Object-oriented Buffet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8" name="WBS_PG_TMP_SHAPE_188">
            <a:extLst>
              <a:ext uri="{FF2B5EF4-FFF2-40B4-BE49-F238E27FC236}">
                <a16:creationId xmlns:a16="http://schemas.microsoft.com/office/drawing/2014/main" id="{5BDCFAD3-360E-44C5-899B-0B8961A80444}"/>
              </a:ext>
            </a:extLst>
          </xdr:cNvPr>
          <xdr:cNvSpPr txBox="1"/>
        </xdr:nvSpPr>
        <xdr:spPr>
          <a:xfrm>
            <a:off x="15795625" y="12954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9/29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89" name="WBS_PG_TMP_SHAPE_189">
            <a:extLst>
              <a:ext uri="{FF2B5EF4-FFF2-40B4-BE49-F238E27FC236}">
                <a16:creationId xmlns:a16="http://schemas.microsoft.com/office/drawing/2014/main" id="{A69EE157-A782-46F0-8984-427FE730C28E}"/>
              </a:ext>
            </a:extLst>
          </xdr:cNvPr>
          <xdr:cNvSpPr txBox="1"/>
        </xdr:nvSpPr>
        <xdr:spPr>
          <a:xfrm>
            <a:off x="16387586" y="249936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Preparation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90" name="WBS_PG_TMP_SHAPE_190">
            <a:extLst>
              <a:ext uri="{FF2B5EF4-FFF2-40B4-BE49-F238E27FC236}">
                <a16:creationId xmlns:a16="http://schemas.microsoft.com/office/drawing/2014/main" id="{E07F87FA-9339-4095-9454-E6DC65E652C0}"/>
              </a:ext>
            </a:extLst>
          </xdr:cNvPr>
          <xdr:cNvSpPr txBox="1"/>
        </xdr:nvSpPr>
        <xdr:spPr>
          <a:xfrm>
            <a:off x="16463786" y="9906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10/1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91" name="WBS_PG_TMP_SHAPE_191">
            <a:extLst>
              <a:ext uri="{FF2B5EF4-FFF2-40B4-BE49-F238E27FC236}">
                <a16:creationId xmlns:a16="http://schemas.microsoft.com/office/drawing/2014/main" id="{50056A54-2396-404B-9747-A35EC247A631}"/>
              </a:ext>
            </a:extLst>
          </xdr:cNvPr>
          <xdr:cNvSpPr txBox="1"/>
        </xdr:nvSpPr>
        <xdr:spPr>
          <a:xfrm>
            <a:off x="17055747" y="185801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Develo
pment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92" name="WBS_PG_TMP_SHAPE_192">
            <a:extLst>
              <a:ext uri="{FF2B5EF4-FFF2-40B4-BE49-F238E27FC236}">
                <a16:creationId xmlns:a16="http://schemas.microsoft.com/office/drawing/2014/main" id="{7F7C95FA-8B73-40FB-B126-E17B78D85BDD}"/>
              </a:ext>
            </a:extLst>
          </xdr:cNvPr>
          <xdr:cNvSpPr txBox="1"/>
        </xdr:nvSpPr>
        <xdr:spPr>
          <a:xfrm>
            <a:off x="17131947" y="12954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10/17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93" name="WBS_PG_TMP_SHAPE_193">
            <a:extLst>
              <a:ext uri="{FF2B5EF4-FFF2-40B4-BE49-F238E27FC236}">
                <a16:creationId xmlns:a16="http://schemas.microsoft.com/office/drawing/2014/main" id="{EE3755F2-FCA4-4E21-A73A-BE4C2382B960}"/>
              </a:ext>
            </a:extLst>
          </xdr:cNvPr>
          <xdr:cNvSpPr txBox="1"/>
        </xdr:nvSpPr>
        <xdr:spPr>
          <a:xfrm>
            <a:off x="17723909" y="249936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Bill Gates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94" name="WBS_PG_TMP_SHAPE_194">
            <a:extLst>
              <a:ext uri="{FF2B5EF4-FFF2-40B4-BE49-F238E27FC236}">
                <a16:creationId xmlns:a16="http://schemas.microsoft.com/office/drawing/2014/main" id="{AB04D3FD-3A60-4B47-8A0F-410E02ED3750}"/>
              </a:ext>
            </a:extLst>
          </xdr:cNvPr>
          <xdr:cNvSpPr txBox="1"/>
        </xdr:nvSpPr>
        <xdr:spPr>
          <a:xfrm>
            <a:off x="17800109" y="9906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10/19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95" name="WBS_PG_TMP_SHAPE_195">
            <a:extLst>
              <a:ext uri="{FF2B5EF4-FFF2-40B4-BE49-F238E27FC236}">
                <a16:creationId xmlns:a16="http://schemas.microsoft.com/office/drawing/2014/main" id="{B726A22E-A68A-4CA7-960E-1E93949FD031}"/>
              </a:ext>
            </a:extLst>
          </xdr:cNvPr>
          <xdr:cNvSpPr txBox="1"/>
        </xdr:nvSpPr>
        <xdr:spPr>
          <a:xfrm>
            <a:off x="18392070" y="1858010"/>
            <a:ext cx="812800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Release to users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96" name="WBS_PG_TMP_SHAPE_196">
            <a:extLst>
              <a:ext uri="{FF2B5EF4-FFF2-40B4-BE49-F238E27FC236}">
                <a16:creationId xmlns:a16="http://schemas.microsoft.com/office/drawing/2014/main" id="{CAE3BD99-35CD-40D8-95B4-9A2744F459C9}"/>
              </a:ext>
            </a:extLst>
          </xdr:cNvPr>
          <xdr:cNvSpPr txBox="1"/>
        </xdr:nvSpPr>
        <xdr:spPr>
          <a:xfrm>
            <a:off x="18468270" y="1295400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10/24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198" name="WBS_PG_TMP_SHAPE_198">
            <a:extLst>
              <a:ext uri="{FF2B5EF4-FFF2-40B4-BE49-F238E27FC236}">
                <a16:creationId xmlns:a16="http://schemas.microsoft.com/office/drawing/2014/main" id="{23692BE6-7B18-48A1-96C9-CFC628AED646}"/>
              </a:ext>
            </a:extLst>
          </xdr:cNvPr>
          <xdr:cNvSpPr/>
        </xdr:nvSpPr>
        <xdr:spPr>
          <a:xfrm>
            <a:off x="12941300" y="1553210"/>
            <a:ext cx="6369050" cy="152400"/>
          </a:xfrm>
          <a:prstGeom prst="rightArrow">
            <a:avLst>
              <a:gd name="adj1" fmla="val 55000"/>
              <a:gd name="adj2" fmla="val 60000"/>
            </a:avLst>
          </a:prstGeom>
          <a:solidFill>
            <a:srgbClr val="8B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99" name="WBS_PG_TMP_SHAPE_199">
            <a:extLst>
              <a:ext uri="{FF2B5EF4-FFF2-40B4-BE49-F238E27FC236}">
                <a16:creationId xmlns:a16="http://schemas.microsoft.com/office/drawing/2014/main" id="{B0F9C578-39D6-47FD-BE9C-026D9108DB03}"/>
              </a:ext>
            </a:extLst>
          </xdr:cNvPr>
          <xdr:cNvSpPr/>
        </xdr:nvSpPr>
        <xdr:spPr>
          <a:xfrm>
            <a:off x="13389680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02" name="WBS_PG_TMP_SHAPE_202">
            <a:extLst>
              <a:ext uri="{FF2B5EF4-FFF2-40B4-BE49-F238E27FC236}">
                <a16:creationId xmlns:a16="http://schemas.microsoft.com/office/drawing/2014/main" id="{F2C9AAA9-1196-4DB2-9544-8573BA295444}"/>
              </a:ext>
            </a:extLst>
          </xdr:cNvPr>
          <xdr:cNvSpPr/>
        </xdr:nvSpPr>
        <xdr:spPr>
          <a:xfrm>
            <a:off x="14057841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03" name="WBS_PG_TMP_SHAPE_203">
            <a:extLst>
              <a:ext uri="{FF2B5EF4-FFF2-40B4-BE49-F238E27FC236}">
                <a16:creationId xmlns:a16="http://schemas.microsoft.com/office/drawing/2014/main" id="{D700944A-9993-4276-A71A-EC063EF4B52F}"/>
              </a:ext>
            </a:extLst>
          </xdr:cNvPr>
          <xdr:cNvSpPr/>
        </xdr:nvSpPr>
        <xdr:spPr>
          <a:xfrm>
            <a:off x="14726003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06" name="WBS_PG_TMP_SHAPE_206">
            <a:extLst>
              <a:ext uri="{FF2B5EF4-FFF2-40B4-BE49-F238E27FC236}">
                <a16:creationId xmlns:a16="http://schemas.microsoft.com/office/drawing/2014/main" id="{D21B25E9-8987-4F26-81E4-597424966542}"/>
              </a:ext>
            </a:extLst>
          </xdr:cNvPr>
          <xdr:cNvSpPr/>
        </xdr:nvSpPr>
        <xdr:spPr>
          <a:xfrm>
            <a:off x="15394164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07" name="WBS_PG_TMP_SHAPE_207">
            <a:extLst>
              <a:ext uri="{FF2B5EF4-FFF2-40B4-BE49-F238E27FC236}">
                <a16:creationId xmlns:a16="http://schemas.microsoft.com/office/drawing/2014/main" id="{D180729E-98B6-4AED-BB94-96FDF3D4E03F}"/>
              </a:ext>
            </a:extLst>
          </xdr:cNvPr>
          <xdr:cNvSpPr/>
        </xdr:nvSpPr>
        <xdr:spPr>
          <a:xfrm>
            <a:off x="16062325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0" name="WBS_PG_TMP_SHAPE_210">
            <a:extLst>
              <a:ext uri="{FF2B5EF4-FFF2-40B4-BE49-F238E27FC236}">
                <a16:creationId xmlns:a16="http://schemas.microsoft.com/office/drawing/2014/main" id="{731947D7-5389-403C-BEAC-65E58FDB7553}"/>
              </a:ext>
            </a:extLst>
          </xdr:cNvPr>
          <xdr:cNvSpPr/>
        </xdr:nvSpPr>
        <xdr:spPr>
          <a:xfrm>
            <a:off x="16730486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1" name="WBS_PG_TMP_SHAPE_211">
            <a:extLst>
              <a:ext uri="{FF2B5EF4-FFF2-40B4-BE49-F238E27FC236}">
                <a16:creationId xmlns:a16="http://schemas.microsoft.com/office/drawing/2014/main" id="{57239635-0808-46FD-8A3A-C479F5BAFAEC}"/>
              </a:ext>
            </a:extLst>
          </xdr:cNvPr>
          <xdr:cNvSpPr/>
        </xdr:nvSpPr>
        <xdr:spPr>
          <a:xfrm>
            <a:off x="17398647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4" name="WBS_PG_TMP_SHAPE_214">
            <a:extLst>
              <a:ext uri="{FF2B5EF4-FFF2-40B4-BE49-F238E27FC236}">
                <a16:creationId xmlns:a16="http://schemas.microsoft.com/office/drawing/2014/main" id="{BE3EB8EA-E8BE-499F-AFED-83EA340F7439}"/>
              </a:ext>
            </a:extLst>
          </xdr:cNvPr>
          <xdr:cNvSpPr/>
        </xdr:nvSpPr>
        <xdr:spPr>
          <a:xfrm>
            <a:off x="18066809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5" name="WBS_PG_TMP_SHAPE_215">
            <a:extLst>
              <a:ext uri="{FF2B5EF4-FFF2-40B4-BE49-F238E27FC236}">
                <a16:creationId xmlns:a16="http://schemas.microsoft.com/office/drawing/2014/main" id="{12F63CBE-E53D-48CE-94A0-976B2AA494FC}"/>
              </a:ext>
            </a:extLst>
          </xdr:cNvPr>
          <xdr:cNvSpPr/>
        </xdr:nvSpPr>
        <xdr:spPr>
          <a:xfrm>
            <a:off x="18734970" y="1485900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000"/>
  <sheetViews>
    <sheetView showGridLines="0" zoomScale="70" zoomScaleNormal="70" workbookViewId="0">
      <pane xSplit="3" ySplit="5" topLeftCell="D6" activePane="bottomRight" state="frozen"/>
      <selection pane="topRight"/>
      <selection pane="bottomLeft"/>
      <selection pane="bottomRight" activeCell="C6" sqref="C6:C19"/>
    </sheetView>
  </sheetViews>
  <sheetFormatPr defaultRowHeight="14.1"/>
  <cols>
    <col min="1" max="1" width="3" customWidth="1"/>
    <col min="2" max="2" width="7" customWidth="1"/>
    <col min="3" max="3" width="40" customWidth="1"/>
    <col min="4" max="4" width="14" customWidth="1"/>
    <col min="5" max="5" width="13" customWidth="1"/>
    <col min="6" max="6" width="8" customWidth="1"/>
    <col min="7" max="8" width="15" customWidth="1"/>
    <col min="9" max="13" width="14" hidden="1" customWidth="1"/>
    <col min="14" max="14" width="12" customWidth="1"/>
    <col min="15" max="15" width="40" customWidth="1"/>
    <col min="16" max="25" width="14" hidden="1" customWidth="1"/>
    <col min="26" max="79" width="6.546875" customWidth="1"/>
  </cols>
  <sheetData>
    <row r="1" spans="1:79" ht="28" customHeight="1">
      <c r="B1" s="3" t="s">
        <v>36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79" ht="22" customHeight="1">
      <c r="B2" s="26" t="s">
        <v>37</v>
      </c>
      <c r="C2" s="27"/>
      <c r="D2" s="1"/>
      <c r="E2" s="5" t="s">
        <v>38</v>
      </c>
      <c r="F2" s="4"/>
      <c r="G2" s="4"/>
      <c r="H2" s="4"/>
      <c r="I2" s="4"/>
      <c r="J2" s="4"/>
      <c r="K2" s="4"/>
      <c r="L2" s="4"/>
      <c r="M2" s="4"/>
      <c r="N2" s="4"/>
      <c r="O2" s="4"/>
    </row>
    <row r="3" spans="1:79" ht="34" customHeight="1"/>
    <row r="4" spans="1:79" ht="22" customHeight="1">
      <c r="Z4" s="7">
        <v>46266</v>
      </c>
      <c r="AA4" s="7">
        <v>46267</v>
      </c>
      <c r="AB4" s="7">
        <v>46268</v>
      </c>
      <c r="AC4" s="7">
        <v>46269</v>
      </c>
      <c r="AD4" s="8">
        <v>46270</v>
      </c>
      <c r="AE4" s="8">
        <v>46271</v>
      </c>
      <c r="AF4" s="7">
        <v>46272</v>
      </c>
      <c r="AG4" s="7">
        <v>46273</v>
      </c>
      <c r="AH4" s="7">
        <v>46274</v>
      </c>
      <c r="AI4" s="7">
        <v>46275</v>
      </c>
      <c r="AJ4" s="7">
        <v>46276</v>
      </c>
      <c r="AK4" s="8">
        <v>46277</v>
      </c>
      <c r="AL4" s="8">
        <v>46278</v>
      </c>
      <c r="AM4" s="7">
        <v>46279</v>
      </c>
      <c r="AN4" s="7">
        <v>46280</v>
      </c>
      <c r="AO4" s="7">
        <v>46281</v>
      </c>
      <c r="AP4" s="7">
        <v>46282</v>
      </c>
      <c r="AQ4" s="7">
        <v>46283</v>
      </c>
      <c r="AR4" s="8">
        <v>46284</v>
      </c>
      <c r="AS4" s="8">
        <v>46285</v>
      </c>
      <c r="AT4" s="7">
        <v>46286</v>
      </c>
      <c r="AU4" s="7">
        <v>46287</v>
      </c>
      <c r="AV4" s="7">
        <v>46288</v>
      </c>
      <c r="AW4" s="7">
        <v>46289</v>
      </c>
      <c r="AX4" s="7">
        <v>46290</v>
      </c>
      <c r="AY4" s="8">
        <v>46291</v>
      </c>
      <c r="AZ4" s="8">
        <v>46292</v>
      </c>
      <c r="BA4" s="7">
        <v>46293</v>
      </c>
      <c r="BB4" s="7">
        <v>46294</v>
      </c>
      <c r="BC4" s="7">
        <v>46295</v>
      </c>
      <c r="BD4" s="7">
        <v>46296</v>
      </c>
      <c r="BE4" s="7">
        <v>46297</v>
      </c>
      <c r="BF4" s="8">
        <v>46298</v>
      </c>
      <c r="BG4" s="8">
        <v>46299</v>
      </c>
      <c r="BH4" s="7">
        <v>46300</v>
      </c>
      <c r="BI4" s="7">
        <v>46301</v>
      </c>
      <c r="BJ4" s="7">
        <v>46302</v>
      </c>
      <c r="BK4" s="7">
        <v>46303</v>
      </c>
      <c r="BL4" s="7">
        <v>46304</v>
      </c>
      <c r="BM4" s="8">
        <v>46305</v>
      </c>
      <c r="BN4" s="8">
        <v>46306</v>
      </c>
      <c r="BO4" s="7">
        <v>46307</v>
      </c>
      <c r="BP4" s="7">
        <v>46308</v>
      </c>
      <c r="BQ4" s="7">
        <v>46309</v>
      </c>
      <c r="BR4" s="7">
        <v>46310</v>
      </c>
      <c r="BS4" s="7">
        <v>46311</v>
      </c>
      <c r="BT4" s="8">
        <v>46312</v>
      </c>
      <c r="BU4" s="8">
        <v>46313</v>
      </c>
      <c r="BV4" s="7">
        <v>46314</v>
      </c>
      <c r="BW4" s="7">
        <v>46315</v>
      </c>
      <c r="BX4" s="7">
        <v>46316</v>
      </c>
      <c r="BY4" s="7">
        <v>46317</v>
      </c>
      <c r="BZ4" s="7">
        <v>46318</v>
      </c>
      <c r="CA4" s="8">
        <v>46319</v>
      </c>
    </row>
    <row r="5" spans="1:79" ht="42" customHeight="1" thickBot="1">
      <c r="B5" s="32" t="s">
        <v>0</v>
      </c>
      <c r="C5" s="32" t="s">
        <v>1</v>
      </c>
      <c r="D5" s="32" t="s">
        <v>2</v>
      </c>
      <c r="E5" s="32" t="s">
        <v>3</v>
      </c>
      <c r="F5" s="32" t="s">
        <v>15</v>
      </c>
      <c r="G5" s="32" t="s">
        <v>9</v>
      </c>
      <c r="H5" s="32" t="s">
        <v>10</v>
      </c>
      <c r="I5" s="32" t="s">
        <v>11</v>
      </c>
      <c r="J5" s="32" t="s">
        <v>12</v>
      </c>
      <c r="K5" s="32" t="s">
        <v>4</v>
      </c>
      <c r="L5" s="32" t="s">
        <v>5</v>
      </c>
      <c r="M5" s="32" t="s">
        <v>6</v>
      </c>
      <c r="N5" s="32" t="s">
        <v>7</v>
      </c>
      <c r="O5" s="32" t="s">
        <v>8</v>
      </c>
      <c r="P5" s="33" t="s">
        <v>13</v>
      </c>
      <c r="Q5" s="34" t="s">
        <v>14</v>
      </c>
      <c r="R5" s="34" t="s">
        <v>27</v>
      </c>
      <c r="S5" s="34" t="s">
        <v>28</v>
      </c>
      <c r="T5" s="34" t="s">
        <v>29</v>
      </c>
      <c r="U5" s="34" t="s">
        <v>30</v>
      </c>
      <c r="V5" s="34" t="s">
        <v>31</v>
      </c>
      <c r="W5" s="34" t="s">
        <v>32</v>
      </c>
      <c r="X5" s="34" t="s">
        <v>16</v>
      </c>
      <c r="Y5" s="34" t="s">
        <v>17</v>
      </c>
      <c r="Z5" s="9" t="s">
        <v>45</v>
      </c>
      <c r="AA5" s="9" t="s">
        <v>39</v>
      </c>
      <c r="AB5" s="9" t="s">
        <v>40</v>
      </c>
      <c r="AC5" s="9" t="s">
        <v>41</v>
      </c>
      <c r="AD5" s="10" t="s">
        <v>42</v>
      </c>
      <c r="AE5" s="10" t="s">
        <v>43</v>
      </c>
      <c r="AF5" s="9" t="s">
        <v>44</v>
      </c>
      <c r="AG5" s="9" t="s">
        <v>45</v>
      </c>
      <c r="AH5" s="9" t="s">
        <v>39</v>
      </c>
      <c r="AI5" s="9" t="s">
        <v>40</v>
      </c>
      <c r="AJ5" s="9" t="s">
        <v>41</v>
      </c>
      <c r="AK5" s="10" t="s">
        <v>42</v>
      </c>
      <c r="AL5" s="10" t="s">
        <v>43</v>
      </c>
      <c r="AM5" s="9" t="s">
        <v>44</v>
      </c>
      <c r="AN5" s="9" t="s">
        <v>45</v>
      </c>
      <c r="AO5" s="9" t="s">
        <v>39</v>
      </c>
      <c r="AP5" s="9" t="s">
        <v>40</v>
      </c>
      <c r="AQ5" s="9" t="s">
        <v>41</v>
      </c>
      <c r="AR5" s="10" t="s">
        <v>42</v>
      </c>
      <c r="AS5" s="10" t="s">
        <v>43</v>
      </c>
      <c r="AT5" s="9" t="s">
        <v>44</v>
      </c>
      <c r="AU5" s="9" t="s">
        <v>45</v>
      </c>
      <c r="AV5" s="9" t="s">
        <v>39</v>
      </c>
      <c r="AW5" s="9" t="s">
        <v>40</v>
      </c>
      <c r="AX5" s="9" t="s">
        <v>41</v>
      </c>
      <c r="AY5" s="10" t="s">
        <v>42</v>
      </c>
      <c r="AZ5" s="10" t="s">
        <v>43</v>
      </c>
      <c r="BA5" s="9" t="s">
        <v>44</v>
      </c>
      <c r="BB5" s="9" t="s">
        <v>45</v>
      </c>
      <c r="BC5" s="9" t="s">
        <v>39</v>
      </c>
      <c r="BD5" s="9" t="s">
        <v>40</v>
      </c>
      <c r="BE5" s="9" t="s">
        <v>41</v>
      </c>
      <c r="BF5" s="10" t="s">
        <v>42</v>
      </c>
      <c r="BG5" s="10" t="s">
        <v>43</v>
      </c>
      <c r="BH5" s="9" t="s">
        <v>44</v>
      </c>
      <c r="BI5" s="9" t="s">
        <v>45</v>
      </c>
      <c r="BJ5" s="9" t="s">
        <v>39</v>
      </c>
      <c r="BK5" s="9" t="s">
        <v>40</v>
      </c>
      <c r="BL5" s="9" t="s">
        <v>41</v>
      </c>
      <c r="BM5" s="10" t="s">
        <v>42</v>
      </c>
      <c r="BN5" s="10" t="s">
        <v>43</v>
      </c>
      <c r="BO5" s="9" t="s">
        <v>44</v>
      </c>
      <c r="BP5" s="9" t="s">
        <v>45</v>
      </c>
      <c r="BQ5" s="9" t="s">
        <v>39</v>
      </c>
      <c r="BR5" s="9" t="s">
        <v>40</v>
      </c>
      <c r="BS5" s="9" t="s">
        <v>41</v>
      </c>
      <c r="BT5" s="10" t="s">
        <v>42</v>
      </c>
      <c r="BU5" s="10" t="s">
        <v>43</v>
      </c>
      <c r="BV5" s="9" t="s">
        <v>44</v>
      </c>
      <c r="BW5" s="9" t="s">
        <v>45</v>
      </c>
      <c r="BX5" s="9" t="s">
        <v>39</v>
      </c>
      <c r="BY5" s="9" t="s">
        <v>40</v>
      </c>
      <c r="BZ5" s="9" t="s">
        <v>41</v>
      </c>
      <c r="CA5" s="10" t="s">
        <v>42</v>
      </c>
    </row>
    <row r="6" spans="1:79" ht="24" customHeight="1" thickBot="1">
      <c r="A6" s="28"/>
      <c r="B6" s="35">
        <v>1</v>
      </c>
      <c r="C6" s="36" t="s">
        <v>73</v>
      </c>
      <c r="D6" s="37"/>
      <c r="E6" s="38"/>
      <c r="F6" s="29">
        <v>54</v>
      </c>
      <c r="G6" s="39">
        <v>46266</v>
      </c>
      <c r="H6" s="39">
        <v>46319</v>
      </c>
      <c r="I6" s="40"/>
      <c r="J6" s="40"/>
      <c r="K6" s="35"/>
      <c r="L6" s="41"/>
      <c r="M6" s="41"/>
      <c r="N6" s="42">
        <v>0.55925925925925934</v>
      </c>
      <c r="O6" s="37"/>
      <c r="P6" s="40">
        <v>43313</v>
      </c>
      <c r="Q6" s="40">
        <v>43360</v>
      </c>
      <c r="R6" s="43"/>
      <c r="S6" s="43"/>
      <c r="T6" s="35"/>
      <c r="U6" s="43"/>
      <c r="V6" s="43"/>
      <c r="W6" s="43"/>
      <c r="X6" s="35" t="s">
        <v>46</v>
      </c>
      <c r="Y6" s="35">
        <v>1</v>
      </c>
      <c r="Z6" s="11" t="s">
        <v>65</v>
      </c>
      <c r="AA6" s="11"/>
      <c r="AB6" s="11"/>
      <c r="AC6" s="11"/>
      <c r="AD6" s="12"/>
      <c r="AE6" s="12"/>
      <c r="AF6" s="11"/>
      <c r="AG6" s="13"/>
      <c r="AH6" s="13"/>
      <c r="AI6" s="13"/>
      <c r="AJ6" s="13"/>
      <c r="AK6" s="14"/>
      <c r="AL6" s="14"/>
      <c r="AM6" s="13"/>
      <c r="AN6" s="13"/>
      <c r="AO6" s="13"/>
      <c r="AP6" s="54"/>
      <c r="AQ6" s="13"/>
      <c r="AR6" s="14"/>
      <c r="AS6" s="14"/>
      <c r="AT6" s="13"/>
      <c r="AU6" s="13"/>
      <c r="AV6" s="13"/>
      <c r="AW6" s="13"/>
      <c r="AX6" s="13"/>
      <c r="AY6" s="14"/>
      <c r="AZ6" s="14"/>
      <c r="BA6" s="13"/>
      <c r="BB6" s="13"/>
      <c r="BC6" s="13"/>
      <c r="BD6" s="13"/>
      <c r="BE6" s="13"/>
      <c r="BF6" s="14"/>
      <c r="BG6" s="14"/>
      <c r="BH6" s="13"/>
      <c r="BI6" s="13"/>
      <c r="BJ6" s="13"/>
      <c r="BK6" s="13"/>
      <c r="BL6" s="13"/>
      <c r="BM6" s="14"/>
      <c r="BN6" s="14"/>
      <c r="BO6" s="13"/>
      <c r="BP6" s="13"/>
      <c r="BQ6" s="13"/>
      <c r="BR6" s="13"/>
      <c r="BS6" s="13"/>
      <c r="BT6" s="14"/>
      <c r="BU6" s="14"/>
      <c r="BV6" s="13"/>
      <c r="BW6" s="13"/>
      <c r="BX6" s="13"/>
      <c r="BY6" s="13"/>
      <c r="BZ6" s="13"/>
      <c r="CA6" s="14"/>
    </row>
    <row r="7" spans="1:79" ht="24" customHeight="1">
      <c r="A7" s="28"/>
      <c r="B7" s="35">
        <v>2</v>
      </c>
      <c r="C7" s="36" t="s">
        <v>74</v>
      </c>
      <c r="D7" s="44"/>
      <c r="E7" s="38"/>
      <c r="F7" s="29">
        <v>7</v>
      </c>
      <c r="G7" s="39">
        <v>46266</v>
      </c>
      <c r="H7" s="39">
        <v>46272</v>
      </c>
      <c r="I7" s="40"/>
      <c r="J7" s="40"/>
      <c r="K7" s="35"/>
      <c r="L7" s="41"/>
      <c r="M7" s="41"/>
      <c r="N7" s="42">
        <v>1</v>
      </c>
      <c r="O7" s="37"/>
      <c r="P7" s="40">
        <v>43313</v>
      </c>
      <c r="Q7" s="40">
        <v>43320</v>
      </c>
      <c r="R7" s="43"/>
      <c r="S7" s="43"/>
      <c r="T7" s="35"/>
      <c r="U7" s="43"/>
      <c r="V7" s="43"/>
      <c r="W7" s="43"/>
      <c r="X7" s="35" t="s">
        <v>46</v>
      </c>
      <c r="Y7" s="35">
        <v>2</v>
      </c>
      <c r="Z7" s="13" t="s">
        <v>66</v>
      </c>
      <c r="AA7" s="13"/>
      <c r="AB7" s="13"/>
      <c r="AC7" s="13"/>
      <c r="AD7" s="14"/>
      <c r="AE7" s="14"/>
      <c r="AF7" s="13"/>
      <c r="AG7" s="15"/>
      <c r="AH7" s="15"/>
      <c r="AI7" s="15"/>
      <c r="AJ7" s="15"/>
      <c r="AK7" s="16"/>
      <c r="AL7" s="16"/>
      <c r="AM7" s="15"/>
      <c r="AN7" s="15"/>
      <c r="AO7" s="15"/>
      <c r="AP7" s="55"/>
      <c r="AQ7" s="15"/>
      <c r="AR7" s="16"/>
      <c r="AS7" s="16"/>
      <c r="AT7" s="15"/>
      <c r="AU7" s="15"/>
      <c r="AV7" s="15"/>
      <c r="AW7" s="15"/>
      <c r="AX7" s="15"/>
      <c r="AY7" s="16"/>
      <c r="AZ7" s="16"/>
      <c r="BA7" s="15"/>
      <c r="BB7" s="15"/>
      <c r="BC7" s="15"/>
      <c r="BD7" s="15"/>
      <c r="BE7" s="15"/>
      <c r="BF7" s="16"/>
      <c r="BG7" s="16"/>
      <c r="BH7" s="15"/>
      <c r="BI7" s="15"/>
      <c r="BJ7" s="15"/>
      <c r="BK7" s="15"/>
      <c r="BL7" s="15"/>
      <c r="BM7" s="16"/>
      <c r="BN7" s="16"/>
      <c r="BO7" s="15"/>
      <c r="BP7" s="15"/>
      <c r="BQ7" s="15"/>
      <c r="BR7" s="15"/>
      <c r="BS7" s="15"/>
      <c r="BT7" s="16"/>
      <c r="BU7" s="16"/>
      <c r="BV7" s="15"/>
      <c r="BW7" s="15"/>
      <c r="BX7" s="15"/>
      <c r="BY7" s="15"/>
      <c r="BZ7" s="15"/>
      <c r="CA7" s="16"/>
    </row>
    <row r="8" spans="1:79" ht="24" customHeight="1">
      <c r="A8" s="28"/>
      <c r="B8" s="45">
        <v>3</v>
      </c>
      <c r="C8" s="46" t="s">
        <v>69</v>
      </c>
      <c r="D8" s="47" t="s">
        <v>33</v>
      </c>
      <c r="E8" s="48">
        <v>1</v>
      </c>
      <c r="F8" s="30">
        <v>3</v>
      </c>
      <c r="G8" s="49">
        <v>46266</v>
      </c>
      <c r="H8" s="49">
        <v>46268</v>
      </c>
      <c r="I8" s="50"/>
      <c r="J8" s="50"/>
      <c r="K8" s="45" t="s">
        <v>24</v>
      </c>
      <c r="L8" s="51">
        <v>120</v>
      </c>
      <c r="M8" s="51">
        <v>80</v>
      </c>
      <c r="N8" s="52">
        <v>1</v>
      </c>
      <c r="O8" s="47"/>
      <c r="P8" s="50">
        <v>43313</v>
      </c>
      <c r="Q8" s="50">
        <v>43314</v>
      </c>
      <c r="R8" s="53"/>
      <c r="S8" s="53"/>
      <c r="T8" s="45"/>
      <c r="U8" s="53"/>
      <c r="V8" s="53"/>
      <c r="W8" s="53"/>
      <c r="X8" s="45" t="s">
        <v>47</v>
      </c>
      <c r="Y8" s="45">
        <v>3</v>
      </c>
      <c r="Z8" s="17">
        <v>1</v>
      </c>
      <c r="AA8" s="17"/>
      <c r="AB8" s="17"/>
      <c r="AC8" s="15"/>
      <c r="AD8" s="16"/>
      <c r="AE8" s="16"/>
      <c r="AF8" s="15"/>
      <c r="AG8" s="15"/>
      <c r="AH8" s="15"/>
      <c r="AI8" s="15"/>
      <c r="AJ8" s="15"/>
      <c r="AK8" s="16"/>
      <c r="AL8" s="16"/>
      <c r="AM8" s="15"/>
      <c r="AN8" s="15"/>
      <c r="AO8" s="15"/>
      <c r="AP8" s="55"/>
      <c r="AQ8" s="15"/>
      <c r="AR8" s="16"/>
      <c r="AS8" s="16"/>
      <c r="AT8" s="15"/>
      <c r="AU8" s="15"/>
      <c r="AV8" s="15"/>
      <c r="AW8" s="15"/>
      <c r="AX8" s="15"/>
      <c r="AY8" s="16"/>
      <c r="AZ8" s="16"/>
      <c r="BA8" s="15"/>
      <c r="BB8" s="15"/>
      <c r="BC8" s="15"/>
      <c r="BD8" s="15"/>
      <c r="BE8" s="15"/>
      <c r="BF8" s="16"/>
      <c r="BG8" s="16"/>
      <c r="BH8" s="15"/>
      <c r="BI8" s="15"/>
      <c r="BJ8" s="15"/>
      <c r="BK8" s="15"/>
      <c r="BL8" s="15"/>
      <c r="BM8" s="16"/>
      <c r="BN8" s="16"/>
      <c r="BO8" s="15"/>
      <c r="BP8" s="15"/>
      <c r="BQ8" s="15"/>
      <c r="BR8" s="15"/>
      <c r="BS8" s="15"/>
      <c r="BT8" s="16"/>
      <c r="BU8" s="16"/>
      <c r="BV8" s="15"/>
      <c r="BW8" s="15"/>
      <c r="BX8" s="15"/>
      <c r="BY8" s="15"/>
      <c r="BZ8" s="15"/>
      <c r="CA8" s="16"/>
    </row>
    <row r="9" spans="1:79" ht="24" customHeight="1">
      <c r="A9" s="28"/>
      <c r="B9" s="45">
        <v>4</v>
      </c>
      <c r="C9" s="46" t="s">
        <v>18</v>
      </c>
      <c r="D9" s="47" t="s">
        <v>33</v>
      </c>
      <c r="E9" s="48">
        <v>1</v>
      </c>
      <c r="F9" s="30">
        <v>1</v>
      </c>
      <c r="G9" s="49">
        <v>46269</v>
      </c>
      <c r="H9" s="49">
        <v>46269</v>
      </c>
      <c r="I9" s="50"/>
      <c r="J9" s="50"/>
      <c r="K9" s="45" t="s">
        <v>24</v>
      </c>
      <c r="L9" s="51">
        <v>50</v>
      </c>
      <c r="M9" s="51">
        <v>40</v>
      </c>
      <c r="N9" s="52">
        <v>1</v>
      </c>
      <c r="O9" s="47" t="str">
        <f>C8</f>
        <v xml:space="preserve">        1.1.1 Elon Musk</v>
      </c>
      <c r="P9" s="50">
        <v>43315</v>
      </c>
      <c r="Q9" s="50">
        <v>43315</v>
      </c>
      <c r="R9" s="53"/>
      <c r="S9" s="53"/>
      <c r="T9" s="45"/>
      <c r="U9" s="53"/>
      <c r="V9" s="53"/>
      <c r="W9" s="53"/>
      <c r="X9" s="45" t="s">
        <v>47</v>
      </c>
      <c r="Y9" s="45">
        <v>3</v>
      </c>
      <c r="Z9" s="15"/>
      <c r="AA9" s="15"/>
      <c r="AB9" s="15"/>
      <c r="AC9" s="18">
        <v>1</v>
      </c>
      <c r="AD9" s="16"/>
      <c r="AE9" s="16"/>
      <c r="AF9" s="15"/>
      <c r="AG9" s="15"/>
      <c r="AH9" s="15"/>
      <c r="AI9" s="15"/>
      <c r="AJ9" s="15"/>
      <c r="AK9" s="16"/>
      <c r="AL9" s="16"/>
      <c r="AM9" s="15"/>
      <c r="AN9" s="15"/>
      <c r="AO9" s="15"/>
      <c r="AP9" s="55"/>
      <c r="AQ9" s="15"/>
      <c r="AR9" s="16"/>
      <c r="AS9" s="16"/>
      <c r="AT9" s="15"/>
      <c r="AU9" s="15"/>
      <c r="AV9" s="15"/>
      <c r="AW9" s="15"/>
      <c r="AX9" s="15"/>
      <c r="AY9" s="16"/>
      <c r="AZ9" s="16"/>
      <c r="BA9" s="15"/>
      <c r="BB9" s="15"/>
      <c r="BC9" s="15"/>
      <c r="BD9" s="15"/>
      <c r="BE9" s="15"/>
      <c r="BF9" s="16"/>
      <c r="BG9" s="16"/>
      <c r="BH9" s="15"/>
      <c r="BI9" s="15"/>
      <c r="BJ9" s="15"/>
      <c r="BK9" s="15"/>
      <c r="BL9" s="15"/>
      <c r="BM9" s="16"/>
      <c r="BN9" s="16"/>
      <c r="BO9" s="15"/>
      <c r="BP9" s="15"/>
      <c r="BQ9" s="15"/>
      <c r="BR9" s="15"/>
      <c r="BS9" s="15"/>
      <c r="BT9" s="16"/>
      <c r="BU9" s="16"/>
      <c r="BV9" s="15"/>
      <c r="BW9" s="15"/>
      <c r="BX9" s="15"/>
      <c r="BY9" s="15"/>
      <c r="BZ9" s="15"/>
      <c r="CA9" s="16"/>
    </row>
    <row r="10" spans="1:79" ht="24" customHeight="1">
      <c r="A10" s="28"/>
      <c r="B10" s="45">
        <v>5</v>
      </c>
      <c r="C10" s="46" t="s">
        <v>19</v>
      </c>
      <c r="D10" s="47" t="s">
        <v>33</v>
      </c>
      <c r="E10" s="48">
        <v>1</v>
      </c>
      <c r="F10" s="30">
        <v>3</v>
      </c>
      <c r="G10" s="49">
        <v>46270</v>
      </c>
      <c r="H10" s="49">
        <v>46272</v>
      </c>
      <c r="I10" s="50"/>
      <c r="J10" s="50"/>
      <c r="K10" s="45" t="s">
        <v>24</v>
      </c>
      <c r="L10" s="51">
        <v>66</v>
      </c>
      <c r="M10" s="51">
        <v>60</v>
      </c>
      <c r="N10" s="52">
        <v>1</v>
      </c>
      <c r="O10" s="47" t="str">
        <f>C9</f>
        <v xml:space="preserve">        1.1.2 Characteristics</v>
      </c>
      <c r="P10" s="50">
        <v>43318</v>
      </c>
      <c r="Q10" s="50">
        <v>43320</v>
      </c>
      <c r="R10" s="53"/>
      <c r="S10" s="53"/>
      <c r="T10" s="45"/>
      <c r="U10" s="53"/>
      <c r="V10" s="53"/>
      <c r="W10" s="53"/>
      <c r="X10" s="45" t="s">
        <v>47</v>
      </c>
      <c r="Y10" s="45">
        <v>3</v>
      </c>
      <c r="Z10" s="15"/>
      <c r="AA10" s="15"/>
      <c r="AB10" s="15"/>
      <c r="AC10" s="15"/>
      <c r="AD10" s="19">
        <v>1</v>
      </c>
      <c r="AE10" s="19"/>
      <c r="AF10" s="19"/>
      <c r="AG10" s="15"/>
      <c r="AH10" s="15"/>
      <c r="AI10" s="15"/>
      <c r="AJ10" s="15"/>
      <c r="AK10" s="16"/>
      <c r="AL10" s="16"/>
      <c r="AM10" s="15"/>
      <c r="AN10" s="15"/>
      <c r="AO10" s="15"/>
      <c r="AP10" s="55"/>
      <c r="AQ10" s="15"/>
      <c r="AR10" s="16"/>
      <c r="AS10" s="16"/>
      <c r="AT10" s="15"/>
      <c r="AU10" s="15"/>
      <c r="AV10" s="15"/>
      <c r="AW10" s="15"/>
      <c r="AX10" s="15"/>
      <c r="AY10" s="16"/>
      <c r="AZ10" s="16"/>
      <c r="BA10" s="15"/>
      <c r="BB10" s="15"/>
      <c r="BC10" s="15"/>
      <c r="BD10" s="15"/>
      <c r="BE10" s="15"/>
      <c r="BF10" s="16"/>
      <c r="BG10" s="16"/>
      <c r="BH10" s="15"/>
      <c r="BI10" s="15"/>
      <c r="BJ10" s="15"/>
      <c r="BK10" s="15"/>
      <c r="BL10" s="15"/>
      <c r="BM10" s="16"/>
      <c r="BN10" s="16"/>
      <c r="BO10" s="15"/>
      <c r="BP10" s="15"/>
      <c r="BQ10" s="15"/>
      <c r="BR10" s="15"/>
      <c r="BS10" s="15"/>
      <c r="BT10" s="16"/>
      <c r="BU10" s="16"/>
      <c r="BV10" s="15"/>
      <c r="BW10" s="15"/>
      <c r="BX10" s="15"/>
      <c r="BY10" s="15"/>
      <c r="BZ10" s="15"/>
      <c r="CA10" s="16"/>
    </row>
    <row r="11" spans="1:79" ht="24" customHeight="1" thickBot="1">
      <c r="A11" s="28"/>
      <c r="B11" s="45">
        <v>6</v>
      </c>
      <c r="C11" s="46" t="s">
        <v>72</v>
      </c>
      <c r="D11" s="47" t="s">
        <v>33</v>
      </c>
      <c r="E11" s="48">
        <v>1</v>
      </c>
      <c r="F11" s="30">
        <v>4</v>
      </c>
      <c r="G11" s="49">
        <v>46273</v>
      </c>
      <c r="H11" s="49">
        <v>46276</v>
      </c>
      <c r="I11" s="50"/>
      <c r="J11" s="50"/>
      <c r="K11" s="45" t="s">
        <v>24</v>
      </c>
      <c r="L11" s="51">
        <v>78</v>
      </c>
      <c r="M11" s="51">
        <v>70</v>
      </c>
      <c r="N11" s="52">
        <v>1</v>
      </c>
      <c r="O11" s="47" t="str">
        <f>C10</f>
        <v xml:space="preserve">        1.1.3 Intuitive interface</v>
      </c>
      <c r="P11" s="50">
        <v>43321</v>
      </c>
      <c r="Q11" s="50">
        <v>43326</v>
      </c>
      <c r="R11" s="53"/>
      <c r="S11" s="53"/>
      <c r="T11" s="45"/>
      <c r="U11" s="53"/>
      <c r="V11" s="53"/>
      <c r="W11" s="53"/>
      <c r="X11" s="45" t="s">
        <v>47</v>
      </c>
      <c r="Y11" s="45">
        <v>2</v>
      </c>
      <c r="Z11" s="15"/>
      <c r="AA11" s="15"/>
      <c r="AB11" s="15"/>
      <c r="AC11" s="15"/>
      <c r="AD11" s="16"/>
      <c r="AE11" s="16"/>
      <c r="AF11" s="15"/>
      <c r="AG11" s="19">
        <v>1</v>
      </c>
      <c r="AH11" s="19"/>
      <c r="AI11" s="19"/>
      <c r="AJ11" s="19"/>
      <c r="AK11" s="16"/>
      <c r="AL11" s="16"/>
      <c r="AM11" s="15"/>
      <c r="AN11" s="15"/>
      <c r="AO11" s="15"/>
      <c r="AP11" s="55"/>
      <c r="AQ11" s="15"/>
      <c r="AR11" s="16"/>
      <c r="AS11" s="16"/>
      <c r="AT11" s="15"/>
      <c r="AU11" s="15"/>
      <c r="AV11" s="15"/>
      <c r="AW11" s="15"/>
      <c r="AX11" s="15"/>
      <c r="AY11" s="16"/>
      <c r="AZ11" s="16"/>
      <c r="BA11" s="15"/>
      <c r="BB11" s="15"/>
      <c r="BC11" s="15"/>
      <c r="BD11" s="15"/>
      <c r="BE11" s="15"/>
      <c r="BF11" s="16"/>
      <c r="BG11" s="16"/>
      <c r="BH11" s="15"/>
      <c r="BI11" s="15"/>
      <c r="BJ11" s="15"/>
      <c r="BK11" s="15"/>
      <c r="BL11" s="15"/>
      <c r="BM11" s="16"/>
      <c r="BN11" s="16"/>
      <c r="BO11" s="15"/>
      <c r="BP11" s="15"/>
      <c r="BQ11" s="15"/>
      <c r="BR11" s="15"/>
      <c r="BS11" s="15"/>
      <c r="BT11" s="16"/>
      <c r="BU11" s="16"/>
      <c r="BV11" s="15"/>
      <c r="BW11" s="15"/>
      <c r="BX11" s="15"/>
      <c r="BY11" s="15"/>
      <c r="BZ11" s="15"/>
      <c r="CA11" s="16"/>
    </row>
    <row r="12" spans="1:79" ht="24" customHeight="1">
      <c r="A12" s="28"/>
      <c r="B12" s="35">
        <v>7</v>
      </c>
      <c r="C12" s="36" t="s">
        <v>75</v>
      </c>
      <c r="D12" s="44"/>
      <c r="E12" s="38"/>
      <c r="F12" s="29">
        <v>18</v>
      </c>
      <c r="G12" s="39">
        <v>46277</v>
      </c>
      <c r="H12" s="39">
        <v>46294</v>
      </c>
      <c r="I12" s="40"/>
      <c r="J12" s="40"/>
      <c r="K12" s="35"/>
      <c r="L12" s="41"/>
      <c r="M12" s="41"/>
      <c r="N12" s="42">
        <v>0.8</v>
      </c>
      <c r="O12" s="37"/>
      <c r="P12" s="40">
        <v>43327</v>
      </c>
      <c r="Q12" s="40">
        <v>43341</v>
      </c>
      <c r="R12" s="43"/>
      <c r="S12" s="43"/>
      <c r="T12" s="35"/>
      <c r="U12" s="43"/>
      <c r="V12" s="43"/>
      <c r="W12" s="43"/>
      <c r="X12" s="35" t="s">
        <v>46</v>
      </c>
      <c r="Y12" s="35">
        <v>2</v>
      </c>
      <c r="Z12" s="15"/>
      <c r="AA12" s="15"/>
      <c r="AB12" s="15"/>
      <c r="AC12" s="15"/>
      <c r="AD12" s="16"/>
      <c r="AE12" s="16"/>
      <c r="AF12" s="15"/>
      <c r="AG12" s="15"/>
      <c r="AH12" s="15"/>
      <c r="AI12" s="15"/>
      <c r="AJ12" s="15"/>
      <c r="AK12" s="14" t="s">
        <v>67</v>
      </c>
      <c r="AL12" s="14"/>
      <c r="AM12" s="13"/>
      <c r="AN12" s="13"/>
      <c r="AO12" s="13"/>
      <c r="AP12" s="54"/>
      <c r="AQ12" s="13"/>
      <c r="AR12" s="14"/>
      <c r="AS12" s="14"/>
      <c r="AT12" s="13"/>
      <c r="AU12" s="13"/>
      <c r="AV12" s="13"/>
      <c r="AW12" s="13"/>
      <c r="AX12" s="13"/>
      <c r="AY12" s="14"/>
      <c r="AZ12" s="14"/>
      <c r="BA12" s="13"/>
      <c r="BB12" s="13"/>
      <c r="BC12" s="15"/>
      <c r="BD12" s="15"/>
      <c r="BE12" s="15"/>
      <c r="BF12" s="16"/>
      <c r="BG12" s="16"/>
      <c r="BH12" s="15"/>
      <c r="BI12" s="15"/>
      <c r="BJ12" s="15"/>
      <c r="BK12" s="15"/>
      <c r="BL12" s="15"/>
      <c r="BM12" s="16"/>
      <c r="BN12" s="16"/>
      <c r="BO12" s="15"/>
      <c r="BP12" s="15"/>
      <c r="BQ12" s="15"/>
      <c r="BR12" s="15"/>
      <c r="BS12" s="15"/>
      <c r="BT12" s="16"/>
      <c r="BU12" s="16"/>
      <c r="BV12" s="15"/>
      <c r="BW12" s="15"/>
      <c r="BX12" s="15"/>
      <c r="BY12" s="15"/>
      <c r="BZ12" s="15"/>
      <c r="CA12" s="16"/>
    </row>
    <row r="13" spans="1:79" ht="24" customHeight="1">
      <c r="A13" s="28"/>
      <c r="B13" s="45">
        <v>8</v>
      </c>
      <c r="C13" s="46" t="s">
        <v>20</v>
      </c>
      <c r="D13" s="47" t="s">
        <v>35</v>
      </c>
      <c r="E13" s="48">
        <v>1</v>
      </c>
      <c r="F13" s="30">
        <v>12</v>
      </c>
      <c r="G13" s="49">
        <v>46277</v>
      </c>
      <c r="H13" s="49">
        <v>46288</v>
      </c>
      <c r="I13" s="50"/>
      <c r="J13" s="50"/>
      <c r="K13" s="45" t="s">
        <v>25</v>
      </c>
      <c r="L13" s="51">
        <v>10240</v>
      </c>
      <c r="M13" s="51">
        <v>1024</v>
      </c>
      <c r="N13" s="52">
        <v>0.8</v>
      </c>
      <c r="O13" s="47" t="str">
        <f>C11</f>
        <v xml:space="preserve">    1.2 Benefits of BTC</v>
      </c>
      <c r="P13" s="50">
        <v>43327</v>
      </c>
      <c r="Q13" s="50">
        <v>43333</v>
      </c>
      <c r="R13" s="53"/>
      <c r="S13" s="53"/>
      <c r="T13" s="45"/>
      <c r="U13" s="53"/>
      <c r="V13" s="53"/>
      <c r="W13" s="53"/>
      <c r="X13" s="45" t="s">
        <v>47</v>
      </c>
      <c r="Y13" s="45">
        <v>3</v>
      </c>
      <c r="Z13" s="15"/>
      <c r="AA13" s="15"/>
      <c r="AB13" s="15"/>
      <c r="AC13" s="15"/>
      <c r="AD13" s="16"/>
      <c r="AE13" s="16"/>
      <c r="AF13" s="15"/>
      <c r="AG13" s="15"/>
      <c r="AH13" s="15"/>
      <c r="AI13" s="15"/>
      <c r="AJ13" s="15"/>
      <c r="AK13" s="20">
        <v>0.8</v>
      </c>
      <c r="AL13" s="20"/>
      <c r="AM13" s="20"/>
      <c r="AN13" s="20"/>
      <c r="AO13" s="20"/>
      <c r="AP13" s="56"/>
      <c r="AQ13" s="20"/>
      <c r="AR13" s="20"/>
      <c r="AS13" s="20"/>
      <c r="AT13" s="20"/>
      <c r="AU13" s="20"/>
      <c r="AV13" s="20"/>
      <c r="AW13" s="15"/>
      <c r="AX13" s="15"/>
      <c r="AY13" s="16"/>
      <c r="AZ13" s="16"/>
      <c r="BA13" s="15"/>
      <c r="BB13" s="15"/>
      <c r="BC13" s="15"/>
      <c r="BD13" s="15"/>
      <c r="BE13" s="15"/>
      <c r="BF13" s="16"/>
      <c r="BG13" s="16"/>
      <c r="BH13" s="15"/>
      <c r="BI13" s="15"/>
      <c r="BJ13" s="15"/>
      <c r="BK13" s="15"/>
      <c r="BL13" s="15"/>
      <c r="BM13" s="16"/>
      <c r="BN13" s="16"/>
      <c r="BO13" s="15"/>
      <c r="BP13" s="15"/>
      <c r="BQ13" s="15"/>
      <c r="BR13" s="15"/>
      <c r="BS13" s="15"/>
      <c r="BT13" s="16"/>
      <c r="BU13" s="16"/>
      <c r="BV13" s="15"/>
      <c r="BW13" s="15"/>
      <c r="BX13" s="15"/>
      <c r="BY13" s="15"/>
      <c r="BZ13" s="15"/>
      <c r="CA13" s="16"/>
    </row>
    <row r="14" spans="1:79" ht="30" customHeight="1" thickBot="1">
      <c r="A14" s="28"/>
      <c r="B14" s="45">
        <v>9</v>
      </c>
      <c r="C14" s="46" t="s">
        <v>71</v>
      </c>
      <c r="D14" s="47" t="s">
        <v>35</v>
      </c>
      <c r="E14" s="48">
        <v>1</v>
      </c>
      <c r="F14" s="30">
        <v>6</v>
      </c>
      <c r="G14" s="49">
        <v>46289</v>
      </c>
      <c r="H14" s="49">
        <v>46294</v>
      </c>
      <c r="I14" s="50"/>
      <c r="J14" s="50"/>
      <c r="K14" s="45" t="s">
        <v>25</v>
      </c>
      <c r="L14" s="51">
        <v>560</v>
      </c>
      <c r="M14" s="51">
        <v>500</v>
      </c>
      <c r="N14" s="52">
        <v>0.8</v>
      </c>
      <c r="O14" s="47" t="str">
        <f>C13</f>
        <v xml:space="preserve">        1.3.1 Program components</v>
      </c>
      <c r="P14" s="50">
        <v>43334</v>
      </c>
      <c r="Q14" s="50">
        <v>43341</v>
      </c>
      <c r="R14" s="53"/>
      <c r="S14" s="53"/>
      <c r="T14" s="45"/>
      <c r="U14" s="53"/>
      <c r="V14" s="53"/>
      <c r="W14" s="53"/>
      <c r="X14" s="45" t="s">
        <v>47</v>
      </c>
      <c r="Y14" s="45">
        <v>3</v>
      </c>
      <c r="Z14" s="15"/>
      <c r="AA14" s="15"/>
      <c r="AB14" s="15"/>
      <c r="AC14" s="15"/>
      <c r="AD14" s="16"/>
      <c r="AE14" s="16"/>
      <c r="AF14" s="15"/>
      <c r="AG14" s="15"/>
      <c r="AH14" s="15"/>
      <c r="AI14" s="15"/>
      <c r="AJ14" s="15"/>
      <c r="AK14" s="16"/>
      <c r="AL14" s="16"/>
      <c r="AM14" s="15"/>
      <c r="AN14" s="15"/>
      <c r="AO14" s="15"/>
      <c r="AP14" s="55"/>
      <c r="AQ14" s="15"/>
      <c r="AR14" s="16"/>
      <c r="AS14" s="16"/>
      <c r="AT14" s="15"/>
      <c r="AU14" s="15"/>
      <c r="AV14" s="15"/>
      <c r="AW14" s="21">
        <v>0.8</v>
      </c>
      <c r="AX14" s="21"/>
      <c r="AY14" s="21"/>
      <c r="AZ14" s="21"/>
      <c r="BA14" s="21"/>
      <c r="BB14" s="21"/>
      <c r="BC14" s="15"/>
      <c r="BD14" s="15"/>
      <c r="BE14" s="15"/>
      <c r="BF14" s="16"/>
      <c r="BG14" s="16"/>
      <c r="BH14" s="15"/>
      <c r="BI14" s="15"/>
      <c r="BJ14" s="15"/>
      <c r="BK14" s="15"/>
      <c r="BL14" s="15"/>
      <c r="BM14" s="16"/>
      <c r="BN14" s="16"/>
      <c r="BO14" s="15"/>
      <c r="BP14" s="15"/>
      <c r="BQ14" s="15"/>
      <c r="BR14" s="15"/>
      <c r="BS14" s="15"/>
      <c r="BT14" s="16"/>
      <c r="BU14" s="16"/>
      <c r="BV14" s="15"/>
      <c r="BW14" s="15"/>
      <c r="BX14" s="15"/>
      <c r="BY14" s="15"/>
      <c r="BZ14" s="15"/>
      <c r="CA14" s="16"/>
    </row>
    <row r="15" spans="1:79" ht="30" customHeight="1">
      <c r="A15" s="28"/>
      <c r="B15" s="35">
        <v>10</v>
      </c>
      <c r="C15" s="36" t="s">
        <v>76</v>
      </c>
      <c r="D15" s="44"/>
      <c r="E15" s="38"/>
      <c r="F15" s="29">
        <v>25</v>
      </c>
      <c r="G15" s="39">
        <v>46295</v>
      </c>
      <c r="H15" s="39">
        <v>46319</v>
      </c>
      <c r="I15" s="40"/>
      <c r="J15" s="40"/>
      <c r="K15" s="35"/>
      <c r="L15" s="41"/>
      <c r="M15" s="41"/>
      <c r="N15" s="42">
        <v>0.192</v>
      </c>
      <c r="O15" s="37"/>
      <c r="P15" s="40">
        <v>43342</v>
      </c>
      <c r="Q15" s="40">
        <v>43360</v>
      </c>
      <c r="R15" s="43"/>
      <c r="S15" s="43"/>
      <c r="T15" s="35"/>
      <c r="U15" s="43"/>
      <c r="V15" s="43"/>
      <c r="W15" s="43"/>
      <c r="X15" s="35" t="s">
        <v>46</v>
      </c>
      <c r="Y15" s="35">
        <v>2</v>
      </c>
      <c r="Z15" s="15"/>
      <c r="AA15" s="15"/>
      <c r="AB15" s="15"/>
      <c r="AC15" s="15"/>
      <c r="AD15" s="16"/>
      <c r="AE15" s="16"/>
      <c r="AF15" s="15"/>
      <c r="AG15" s="15"/>
      <c r="AH15" s="15"/>
      <c r="AI15" s="15"/>
      <c r="AJ15" s="15"/>
      <c r="AK15" s="16"/>
      <c r="AL15" s="16"/>
      <c r="AM15" s="15"/>
      <c r="AN15" s="15"/>
      <c r="AO15" s="15"/>
      <c r="AP15" s="55"/>
      <c r="AQ15" s="15"/>
      <c r="AR15" s="16"/>
      <c r="AS15" s="16"/>
      <c r="AT15" s="15"/>
      <c r="AU15" s="15"/>
      <c r="AV15" s="15"/>
      <c r="AW15" s="15"/>
      <c r="AX15" s="15"/>
      <c r="AY15" s="16"/>
      <c r="AZ15" s="16"/>
      <c r="BA15" s="15"/>
      <c r="BB15" s="15"/>
      <c r="BC15" s="13" t="s">
        <v>68</v>
      </c>
      <c r="BD15" s="13"/>
      <c r="BE15" s="13"/>
      <c r="BF15" s="14"/>
      <c r="BG15" s="14"/>
      <c r="BH15" s="13"/>
      <c r="BI15" s="13"/>
      <c r="BJ15" s="13"/>
      <c r="BK15" s="13"/>
      <c r="BL15" s="13"/>
      <c r="BM15" s="14"/>
      <c r="BN15" s="14"/>
      <c r="BO15" s="13"/>
      <c r="BP15" s="13"/>
      <c r="BQ15" s="13"/>
      <c r="BR15" s="13"/>
      <c r="BS15" s="13"/>
      <c r="BT15" s="14"/>
      <c r="BU15" s="14"/>
      <c r="BV15" s="13"/>
      <c r="BW15" s="13"/>
      <c r="BX15" s="13"/>
      <c r="BY15" s="13"/>
      <c r="BZ15" s="13"/>
      <c r="CA15" s="14"/>
    </row>
    <row r="16" spans="1:79" ht="24" customHeight="1">
      <c r="A16" s="28"/>
      <c r="B16" s="45">
        <v>11</v>
      </c>
      <c r="C16" s="46" t="s">
        <v>21</v>
      </c>
      <c r="D16" s="47" t="s">
        <v>34</v>
      </c>
      <c r="E16" s="48">
        <v>1</v>
      </c>
      <c r="F16" s="30">
        <v>2</v>
      </c>
      <c r="G16" s="49">
        <v>46295</v>
      </c>
      <c r="H16" s="49">
        <v>46296</v>
      </c>
      <c r="I16" s="50"/>
      <c r="J16" s="50"/>
      <c r="K16" s="45" t="s">
        <v>26</v>
      </c>
      <c r="L16" s="51">
        <v>100</v>
      </c>
      <c r="M16" s="51">
        <v>60</v>
      </c>
      <c r="N16" s="52">
        <v>0.6</v>
      </c>
      <c r="O16" s="47" t="str">
        <f>C14</f>
        <v xml:space="preserve">        1.3.2 Object-oriented Buffet</v>
      </c>
      <c r="P16" s="50">
        <v>43342</v>
      </c>
      <c r="Q16" s="50">
        <v>43342</v>
      </c>
      <c r="R16" s="53"/>
      <c r="S16" s="53"/>
      <c r="T16" s="45"/>
      <c r="U16" s="53"/>
      <c r="V16" s="53"/>
      <c r="W16" s="53"/>
      <c r="X16" s="45" t="s">
        <v>47</v>
      </c>
      <c r="Y16" s="45">
        <v>3</v>
      </c>
      <c r="Z16" s="15"/>
      <c r="AA16" s="15"/>
      <c r="AB16" s="15"/>
      <c r="AC16" s="15"/>
      <c r="AD16" s="16"/>
      <c r="AE16" s="16"/>
      <c r="AF16" s="15"/>
      <c r="AG16" s="15"/>
      <c r="AH16" s="15"/>
      <c r="AI16" s="15"/>
      <c r="AJ16" s="15"/>
      <c r="AK16" s="16"/>
      <c r="AL16" s="16"/>
      <c r="AM16" s="15"/>
      <c r="AN16" s="15"/>
      <c r="AO16" s="15"/>
      <c r="AP16" s="55"/>
      <c r="AQ16" s="15"/>
      <c r="AR16" s="16"/>
      <c r="AS16" s="16"/>
      <c r="AT16" s="15"/>
      <c r="AU16" s="15"/>
      <c r="AV16" s="15"/>
      <c r="AW16" s="15"/>
      <c r="AX16" s="15"/>
      <c r="AY16" s="16"/>
      <c r="AZ16" s="16"/>
      <c r="BA16" s="15"/>
      <c r="BB16" s="15"/>
      <c r="BC16" s="20">
        <v>0.6</v>
      </c>
      <c r="BD16" s="20"/>
      <c r="BE16" s="15"/>
      <c r="BF16" s="16"/>
      <c r="BG16" s="16"/>
      <c r="BH16" s="15"/>
      <c r="BI16" s="15"/>
      <c r="BJ16" s="15"/>
      <c r="BK16" s="15"/>
      <c r="BL16" s="15"/>
      <c r="BM16" s="16"/>
      <c r="BN16" s="16"/>
      <c r="BO16" s="15"/>
      <c r="BP16" s="15"/>
      <c r="BQ16" s="15"/>
      <c r="BR16" s="15"/>
      <c r="BS16" s="15"/>
      <c r="BT16" s="16"/>
      <c r="BU16" s="16"/>
      <c r="BV16" s="15"/>
      <c r="BW16" s="15"/>
      <c r="BX16" s="15"/>
      <c r="BY16" s="15"/>
      <c r="BZ16" s="15"/>
      <c r="CA16" s="16"/>
    </row>
    <row r="17" spans="1:79" ht="24" customHeight="1">
      <c r="A17" s="28"/>
      <c r="B17" s="45">
        <v>12</v>
      </c>
      <c r="C17" s="46" t="s">
        <v>22</v>
      </c>
      <c r="D17" s="47" t="s">
        <v>34</v>
      </c>
      <c r="E17" s="48">
        <v>1</v>
      </c>
      <c r="F17" s="30">
        <v>16</v>
      </c>
      <c r="G17" s="49">
        <v>46297</v>
      </c>
      <c r="H17" s="49">
        <v>46312</v>
      </c>
      <c r="I17" s="50"/>
      <c r="J17" s="50"/>
      <c r="K17" s="45" t="s">
        <v>26</v>
      </c>
      <c r="L17" s="51">
        <v>200</v>
      </c>
      <c r="M17" s="51">
        <v>20</v>
      </c>
      <c r="N17" s="52">
        <v>0.1</v>
      </c>
      <c r="O17" s="47" t="str">
        <f>C16</f>
        <v xml:space="preserve">        1.4.1 Preparation</v>
      </c>
      <c r="P17" s="50">
        <v>43343</v>
      </c>
      <c r="Q17" s="50">
        <v>43349</v>
      </c>
      <c r="R17" s="53"/>
      <c r="S17" s="53"/>
      <c r="T17" s="45"/>
      <c r="U17" s="53"/>
      <c r="V17" s="53"/>
      <c r="W17" s="53"/>
      <c r="X17" s="45" t="s">
        <v>47</v>
      </c>
      <c r="Y17" s="45">
        <v>3</v>
      </c>
      <c r="Z17" s="15"/>
      <c r="AA17" s="15"/>
      <c r="AB17" s="15"/>
      <c r="AC17" s="15"/>
      <c r="AD17" s="16"/>
      <c r="AE17" s="16"/>
      <c r="AF17" s="15"/>
      <c r="AG17" s="15"/>
      <c r="AH17" s="15"/>
      <c r="AI17" s="15"/>
      <c r="AJ17" s="15"/>
      <c r="AK17" s="16"/>
      <c r="AL17" s="16"/>
      <c r="AM17" s="15"/>
      <c r="AN17" s="15"/>
      <c r="AO17" s="15"/>
      <c r="AP17" s="55"/>
      <c r="AQ17" s="15"/>
      <c r="AR17" s="16"/>
      <c r="AS17" s="16"/>
      <c r="AT17" s="15"/>
      <c r="AU17" s="15"/>
      <c r="AV17" s="15"/>
      <c r="AW17" s="15"/>
      <c r="AX17" s="15"/>
      <c r="AY17" s="16"/>
      <c r="AZ17" s="16"/>
      <c r="BA17" s="15"/>
      <c r="BB17" s="15"/>
      <c r="BC17" s="15"/>
      <c r="BD17" s="15"/>
      <c r="BE17" s="21">
        <v>0.1</v>
      </c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16"/>
      <c r="BV17" s="15"/>
      <c r="BW17" s="15"/>
      <c r="BX17" s="15"/>
      <c r="BY17" s="15"/>
      <c r="BZ17" s="15"/>
      <c r="CA17" s="16"/>
    </row>
    <row r="18" spans="1:79" ht="24" customHeight="1">
      <c r="A18" s="28"/>
      <c r="B18" s="45">
        <v>13</v>
      </c>
      <c r="C18" s="46" t="s">
        <v>70</v>
      </c>
      <c r="D18" s="47" t="s">
        <v>34</v>
      </c>
      <c r="E18" s="48">
        <v>1</v>
      </c>
      <c r="F18" s="30">
        <v>2</v>
      </c>
      <c r="G18" s="49">
        <v>46313</v>
      </c>
      <c r="H18" s="49">
        <v>46314</v>
      </c>
      <c r="I18" s="50"/>
      <c r="J18" s="50"/>
      <c r="K18" s="45" t="s">
        <v>26</v>
      </c>
      <c r="L18" s="51">
        <v>356</v>
      </c>
      <c r="M18" s="51">
        <v>356</v>
      </c>
      <c r="N18" s="52">
        <v>1</v>
      </c>
      <c r="O18" s="47" t="str">
        <f>C17</f>
        <v xml:space="preserve">        1.4.2 Development</v>
      </c>
      <c r="P18" s="50">
        <v>43350</v>
      </c>
      <c r="Q18" s="50">
        <v>43353</v>
      </c>
      <c r="R18" s="53"/>
      <c r="S18" s="53"/>
      <c r="T18" s="45"/>
      <c r="U18" s="53"/>
      <c r="V18" s="53"/>
      <c r="W18" s="53"/>
      <c r="X18" s="45" t="s">
        <v>47</v>
      </c>
      <c r="Y18" s="45">
        <v>3</v>
      </c>
      <c r="Z18" s="15"/>
      <c r="AA18" s="15"/>
      <c r="AB18" s="15"/>
      <c r="AC18" s="15"/>
      <c r="AD18" s="16"/>
      <c r="AE18" s="16"/>
      <c r="AF18" s="15"/>
      <c r="AG18" s="15"/>
      <c r="AH18" s="15"/>
      <c r="AI18" s="15"/>
      <c r="AJ18" s="15"/>
      <c r="AK18" s="16"/>
      <c r="AL18" s="16"/>
      <c r="AM18" s="15"/>
      <c r="AN18" s="15"/>
      <c r="AO18" s="15"/>
      <c r="AP18" s="55"/>
      <c r="AQ18" s="15"/>
      <c r="AR18" s="16"/>
      <c r="AS18" s="16"/>
      <c r="AT18" s="15"/>
      <c r="AU18" s="15"/>
      <c r="AV18" s="15"/>
      <c r="AW18" s="15"/>
      <c r="AX18" s="15"/>
      <c r="AY18" s="16"/>
      <c r="AZ18" s="16"/>
      <c r="BA18" s="15"/>
      <c r="BB18" s="15"/>
      <c r="BC18" s="15"/>
      <c r="BD18" s="15"/>
      <c r="BE18" s="15"/>
      <c r="BF18" s="16"/>
      <c r="BG18" s="16"/>
      <c r="BH18" s="15"/>
      <c r="BI18" s="15"/>
      <c r="BJ18" s="15"/>
      <c r="BK18" s="15"/>
      <c r="BL18" s="15"/>
      <c r="BM18" s="16"/>
      <c r="BN18" s="16"/>
      <c r="BO18" s="15"/>
      <c r="BP18" s="15"/>
      <c r="BQ18" s="15"/>
      <c r="BR18" s="15"/>
      <c r="BS18" s="15"/>
      <c r="BT18" s="16"/>
      <c r="BU18" s="19">
        <v>1</v>
      </c>
      <c r="BV18" s="19"/>
      <c r="BW18" s="15"/>
      <c r="BX18" s="15"/>
      <c r="BY18" s="15"/>
      <c r="BZ18" s="15"/>
      <c r="CA18" s="16"/>
    </row>
    <row r="19" spans="1:79" ht="24" customHeight="1">
      <c r="A19" s="28"/>
      <c r="B19" s="45">
        <v>14</v>
      </c>
      <c r="C19" s="46" t="s">
        <v>23</v>
      </c>
      <c r="D19" s="47" t="s">
        <v>34</v>
      </c>
      <c r="E19" s="48">
        <v>0.5</v>
      </c>
      <c r="F19" s="30">
        <v>5</v>
      </c>
      <c r="G19" s="49">
        <v>46315</v>
      </c>
      <c r="H19" s="49">
        <v>46319</v>
      </c>
      <c r="I19" s="50"/>
      <c r="J19" s="50"/>
      <c r="K19" s="45"/>
      <c r="L19" s="51"/>
      <c r="M19" s="51"/>
      <c r="N19" s="52">
        <v>0</v>
      </c>
      <c r="O19" s="47" t="str">
        <f>C18</f>
        <v xml:space="preserve">        1.4.3 Bill Gates</v>
      </c>
      <c r="P19" s="50">
        <v>43354</v>
      </c>
      <c r="Q19" s="50">
        <v>43360</v>
      </c>
      <c r="R19" s="53"/>
      <c r="S19" s="53"/>
      <c r="T19" s="45"/>
      <c r="U19" s="53"/>
      <c r="V19" s="53"/>
      <c r="W19" s="53"/>
      <c r="X19" s="45" t="s">
        <v>47</v>
      </c>
      <c r="Y19" s="45">
        <v>3</v>
      </c>
      <c r="Z19" s="15"/>
      <c r="AA19" s="15"/>
      <c r="AB19" s="15"/>
      <c r="AC19" s="15"/>
      <c r="AD19" s="16"/>
      <c r="AE19" s="16"/>
      <c r="AF19" s="15"/>
      <c r="AG19" s="15"/>
      <c r="AH19" s="15"/>
      <c r="AI19" s="15"/>
      <c r="AJ19" s="15"/>
      <c r="AK19" s="16"/>
      <c r="AL19" s="16"/>
      <c r="AM19" s="15"/>
      <c r="AN19" s="15"/>
      <c r="AO19" s="15"/>
      <c r="AP19" s="55"/>
      <c r="AQ19" s="15"/>
      <c r="AR19" s="16"/>
      <c r="AS19" s="16"/>
      <c r="AT19" s="15"/>
      <c r="AU19" s="15"/>
      <c r="AV19" s="15"/>
      <c r="AW19" s="15"/>
      <c r="AX19" s="15"/>
      <c r="AY19" s="16"/>
      <c r="AZ19" s="16"/>
      <c r="BA19" s="15"/>
      <c r="BB19" s="15"/>
      <c r="BC19" s="15"/>
      <c r="BD19" s="15"/>
      <c r="BE19" s="15"/>
      <c r="BF19" s="16"/>
      <c r="BG19" s="16"/>
      <c r="BH19" s="15"/>
      <c r="BI19" s="15"/>
      <c r="BJ19" s="15"/>
      <c r="BK19" s="15"/>
      <c r="BL19" s="15"/>
      <c r="BM19" s="16"/>
      <c r="BN19" s="16"/>
      <c r="BO19" s="15"/>
      <c r="BP19" s="15"/>
      <c r="BQ19" s="15"/>
      <c r="BR19" s="15"/>
      <c r="BS19" s="15"/>
      <c r="BT19" s="16"/>
      <c r="BU19" s="16"/>
      <c r="BV19" s="15"/>
      <c r="BW19" s="21">
        <v>0</v>
      </c>
      <c r="BX19" s="21"/>
      <c r="BY19" s="21"/>
      <c r="BZ19" s="21"/>
      <c r="CA19" s="21"/>
    </row>
    <row r="20" spans="1:79" ht="24" customHeight="1">
      <c r="A20" s="28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</row>
    <row r="21" spans="1:79" ht="14.1" customHeight="1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</row>
    <row r="22" spans="1:79" ht="14.1" customHeight="1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</row>
    <row r="23" spans="1:79" ht="14.1" customHeight="1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</row>
    <row r="24" spans="1:79" ht="14.1" customHeight="1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</row>
    <row r="25" spans="1:79" ht="14.1" customHeight="1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</row>
    <row r="26" spans="1:79" ht="14.1" customHeight="1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</row>
    <row r="27" spans="1:79" ht="14.1" customHeight="1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79" ht="14.1" customHeight="1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</row>
    <row r="29" spans="1:79" ht="14.1" customHeight="1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</row>
    <row r="30" spans="1:79" ht="14.1" customHeight="1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</row>
    <row r="31" spans="1:79" ht="14.1" customHeight="1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</row>
    <row r="32" spans="1:79" ht="14.1" customHeight="1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</row>
    <row r="33" spans="1:25" ht="14.1" customHeight="1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spans="1:25" ht="14.1" customHeight="1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</row>
    <row r="35" spans="1:25" ht="14.1" customHeight="1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  <row r="36" spans="1:25" ht="14.1" customHeight="1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</row>
    <row r="37" spans="1:25" ht="14.1" customHeight="1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</row>
    <row r="38" spans="1:25" ht="14.1" customHeight="1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</row>
    <row r="39" spans="1:25" ht="14.1" customHeight="1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</row>
    <row r="40" spans="1:25" ht="14.1" customHeight="1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spans="1:25" ht="14.1" customHeight="1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spans="1:25" ht="14.1" customHeight="1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1:25" ht="14.1" customHeight="1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</row>
    <row r="44" spans="1:25" ht="14.1" customHeight="1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</row>
    <row r="45" spans="1:25" ht="14.1" customHeight="1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</row>
    <row r="46" spans="1:25" ht="14.1" customHeight="1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spans="1:25" ht="14.1" customHeight="1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</row>
    <row r="48" spans="1:25" ht="14.1" customHeigh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</row>
    <row r="49" spans="1:25" ht="14.1" customHeight="1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</row>
    <row r="50" spans="1:25" ht="14.1" customHeight="1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</row>
    <row r="51" spans="1:25" ht="14.1" customHeight="1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</row>
    <row r="52" spans="1:25" ht="14.1" customHeight="1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</row>
    <row r="53" spans="1:25" ht="14.1" customHeight="1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</row>
    <row r="54" spans="1:25" ht="14.1" customHeight="1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</row>
    <row r="55" spans="1:25" ht="14.1" customHeight="1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</row>
    <row r="56" spans="1:25" ht="14.1" customHeight="1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</row>
    <row r="57" spans="1:25" ht="14.1" customHeight="1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</row>
    <row r="58" spans="1:25" ht="14.1" customHeight="1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</row>
    <row r="59" spans="1:25" ht="14.1" customHeight="1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</row>
    <row r="60" spans="1:25" ht="14.1" customHeight="1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</row>
    <row r="61" spans="1:25" ht="14.1" customHeight="1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</row>
    <row r="62" spans="1:25" ht="14.1" customHeight="1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</row>
    <row r="63" spans="1:25" ht="14.1" customHeight="1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</row>
    <row r="64" spans="1:25" ht="14.1" customHeight="1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</row>
    <row r="65" spans="1:25" ht="14.1" customHeight="1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</row>
    <row r="66" spans="1:25" ht="14.1" customHeight="1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</row>
    <row r="67" spans="1:25" ht="14.1" customHeight="1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</row>
    <row r="68" spans="1:25" ht="14.1" customHeight="1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</row>
    <row r="69" spans="1:25" ht="14.1" customHeight="1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</row>
    <row r="70" spans="1:25" ht="14.1" customHeight="1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</row>
    <row r="71" spans="1:25" ht="14.1" customHeight="1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</row>
    <row r="72" spans="1:25" ht="14.1" customHeight="1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</row>
    <row r="73" spans="1:25" ht="14.1" customHeight="1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</row>
    <row r="74" spans="1:25" ht="14.1" customHeight="1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</row>
    <row r="75" spans="1:25" ht="14.1" customHeight="1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</row>
    <row r="76" spans="1:25" ht="14.1" customHeight="1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</row>
    <row r="77" spans="1:25" ht="14.1" customHeight="1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</row>
    <row r="78" spans="1:25" ht="14.1" customHeight="1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</row>
    <row r="79" spans="1:25" ht="14.1" customHeight="1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</row>
    <row r="80" spans="1:25" ht="14.1" customHeight="1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</row>
    <row r="81" spans="1:25" ht="14.1" customHeight="1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</row>
    <row r="82" spans="1:25" ht="14.1" customHeight="1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</row>
    <row r="83" spans="1:25" ht="14.1" customHeight="1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</row>
    <row r="84" spans="1:25" ht="14.1" customHeight="1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</row>
    <row r="85" spans="1:25" ht="14.1" customHeight="1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</row>
    <row r="86" spans="1:25" ht="14.1" customHeight="1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</row>
    <row r="87" spans="1:25" ht="14.1" customHeight="1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</row>
    <row r="88" spans="1:25" ht="14.1" customHeight="1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</row>
    <row r="89" spans="1:25" ht="14.1" customHeight="1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</row>
    <row r="90" spans="1:25" ht="14.1" customHeight="1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</row>
    <row r="91" spans="1:25" ht="14.1" customHeight="1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</row>
    <row r="92" spans="1:25" ht="14.1" customHeight="1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</row>
    <row r="93" spans="1:25" ht="14.1" customHeight="1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</row>
    <row r="94" spans="1:25" ht="14.1" customHeight="1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</row>
    <row r="95" spans="1:25" ht="14.1" customHeight="1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</row>
    <row r="96" spans="1:25" ht="14.1" customHeight="1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</row>
    <row r="97" spans="1:25" ht="14.1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</row>
    <row r="98" spans="1:25" ht="14.1" customHeight="1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</row>
    <row r="99" spans="1:25" ht="14.1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</row>
    <row r="100" spans="1:25" ht="14.1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</row>
    <row r="101" spans="1:25" ht="14.1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</row>
    <row r="102" spans="1:25" ht="14.1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</row>
    <row r="103" spans="1:25" ht="14.1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</row>
    <row r="104" spans="1:25" ht="14.1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</row>
    <row r="105" spans="1:25" ht="14.1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</row>
    <row r="106" spans="1:25" ht="14.1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</row>
    <row r="107" spans="1:25" ht="14.1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</row>
    <row r="108" spans="1:25" ht="14.1" customHeight="1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</row>
    <row r="109" spans="1:25" ht="14.1" customHeight="1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</row>
    <row r="110" spans="1:25" ht="14.1" customHeight="1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</row>
    <row r="111" spans="1:25" ht="14.1" customHeight="1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</row>
    <row r="112" spans="1:25" ht="14.1" customHeight="1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</row>
    <row r="113" spans="1:25" ht="14.1" customHeight="1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</row>
    <row r="114" spans="1:25" ht="14.1" customHeight="1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</row>
    <row r="115" spans="1:25" ht="14.1" customHeight="1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</row>
    <row r="116" spans="1:25" ht="14.1" customHeight="1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</row>
    <row r="117" spans="1:25" ht="14.1" customHeight="1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</row>
    <row r="118" spans="1:25" ht="14.1" customHeight="1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</row>
    <row r="119" spans="1:25" ht="14.1" customHeight="1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</row>
    <row r="120" spans="1:25" ht="14.1" customHeight="1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</row>
    <row r="121" spans="1:25" ht="14.1" customHeight="1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</row>
    <row r="122" spans="1:25" ht="14.1" customHeight="1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</row>
    <row r="123" spans="1:25" ht="14.1" customHeight="1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</row>
    <row r="124" spans="1:25" ht="14.1" customHeight="1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</row>
    <row r="125" spans="1:25" ht="14.1" customHeight="1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</row>
    <row r="126" spans="1:25" ht="14.1" customHeight="1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</row>
    <row r="127" spans="1:25" ht="14.1" customHeight="1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</row>
    <row r="128" spans="1:25" ht="14.1" customHeight="1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</row>
    <row r="129" spans="1:25" ht="14.1" customHeight="1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</row>
    <row r="130" spans="1:25" ht="14.1" customHeight="1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</row>
    <row r="131" spans="1:25" ht="14.1" customHeight="1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</row>
    <row r="132" spans="1:25" ht="14.1" customHeight="1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</row>
    <row r="133" spans="1:25" ht="14.1" customHeight="1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</row>
    <row r="134" spans="1:25" ht="14.1" customHeight="1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</row>
    <row r="135" spans="1:25" ht="14.1" customHeight="1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</row>
    <row r="136" spans="1:25" ht="14.1" customHeight="1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</row>
    <row r="137" spans="1:25" ht="14.1" customHeight="1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</row>
    <row r="138" spans="1:25" ht="14.1" customHeight="1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</row>
    <row r="139" spans="1:25" ht="14.1" customHeight="1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</row>
    <row r="140" spans="1:25" ht="14.1" customHeight="1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</row>
    <row r="141" spans="1:25" ht="14.1" customHeight="1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</row>
    <row r="142" spans="1:25" ht="14.1" customHeight="1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</row>
    <row r="143" spans="1:25" ht="14.1" customHeight="1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</row>
    <row r="144" spans="1:25" ht="14.1" customHeight="1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</row>
    <row r="145" spans="1:25" ht="14.1" customHeight="1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</row>
    <row r="146" spans="1:25" ht="14.1" customHeight="1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</row>
    <row r="147" spans="1:25" ht="14.1" customHeight="1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</row>
    <row r="148" spans="1:25" ht="14.1" customHeight="1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</row>
    <row r="149" spans="1:25" ht="14.1" customHeight="1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</row>
    <row r="150" spans="1:25" ht="14.1" customHeight="1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</row>
    <row r="151" spans="1:25" ht="14.1" customHeight="1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</row>
    <row r="152" spans="1:25" ht="14.1" customHeight="1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</row>
    <row r="153" spans="1:25" ht="14.1" customHeight="1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</row>
    <row r="154" spans="1:25" ht="14.1" customHeight="1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</row>
    <row r="155" spans="1:25" ht="14.1" customHeight="1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</row>
    <row r="156" spans="1:25" ht="14.1" customHeight="1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</row>
    <row r="157" spans="1:25" ht="14.1" customHeight="1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</row>
    <row r="158" spans="1:25" ht="14.1" customHeight="1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</row>
    <row r="159" spans="1:25" ht="14.1" customHeight="1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</row>
    <row r="160" spans="1:25" ht="14.1" customHeight="1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</row>
    <row r="161" spans="1:25" ht="14.1" customHeight="1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</row>
    <row r="162" spans="1:25" ht="14.1" customHeight="1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</row>
    <row r="163" spans="1:25" ht="14.1" customHeight="1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</row>
    <row r="164" spans="1:25" ht="14.1" customHeight="1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</row>
    <row r="165" spans="1:25" ht="14.1" customHeight="1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</row>
    <row r="166" spans="1:25" ht="14.1" customHeight="1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</row>
    <row r="167" spans="1:25" ht="14.1" customHeight="1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</row>
    <row r="168" spans="1:25" ht="14.1" customHeight="1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</row>
    <row r="169" spans="1:25" ht="14.1" customHeight="1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</row>
    <row r="170" spans="1:25" ht="14.1" customHeight="1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</row>
    <row r="171" spans="1:25" ht="14.1" customHeight="1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</row>
    <row r="172" spans="1:25" ht="14.1" customHeight="1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</row>
    <row r="173" spans="1:25" ht="14.1" customHeight="1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</row>
    <row r="174" spans="1:25" ht="14.1" customHeight="1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</row>
    <row r="175" spans="1:25" ht="14.1" customHeight="1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</row>
    <row r="176" spans="1:25" ht="14.1" customHeight="1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</row>
    <row r="177" spans="1:25" ht="14.1" customHeight="1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</row>
    <row r="178" spans="1:25" ht="14.1" customHeight="1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</row>
    <row r="179" spans="1:25" ht="14.1" customHeight="1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</row>
    <row r="180" spans="1:25" ht="14.1" customHeight="1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</row>
    <row r="181" spans="1:25" ht="14.1" customHeight="1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</row>
    <row r="182" spans="1:25" ht="14.1" customHeight="1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</row>
    <row r="183" spans="1:25" ht="14.1" customHeight="1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</row>
    <row r="184" spans="1:25" ht="14.1" customHeight="1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</row>
    <row r="185" spans="1:25" ht="14.1" customHeight="1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</row>
    <row r="186" spans="1:25" ht="14.1" customHeight="1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</row>
    <row r="187" spans="1:25" ht="14.1" customHeight="1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</row>
    <row r="188" spans="1:25" ht="14.1" customHeight="1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</row>
    <row r="189" spans="1:25" ht="14.1" customHeight="1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</row>
    <row r="190" spans="1:25" ht="14.1" customHeight="1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</row>
    <row r="191" spans="1:25" ht="14.1" customHeight="1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</row>
    <row r="192" spans="1:25" ht="14.1" customHeight="1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</row>
    <row r="193" spans="1:25" ht="14.1" customHeight="1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</row>
    <row r="194" spans="1:25" ht="14.1" customHeight="1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</row>
    <row r="195" spans="1:25" ht="14.1" customHeight="1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</row>
    <row r="196" spans="1:25" ht="14.1" customHeight="1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</row>
    <row r="197" spans="1:25" ht="14.1" customHeight="1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</row>
    <row r="198" spans="1:25" ht="14.1" customHeight="1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</row>
    <row r="199" spans="1:25" ht="14.1" customHeight="1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</row>
    <row r="200" spans="1:25" ht="14.1" customHeight="1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</row>
    <row r="201" spans="1:25" ht="14.1" customHeight="1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</row>
    <row r="202" spans="1:25" ht="14.1" customHeight="1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</row>
    <row r="203" spans="1:25" ht="14.1" customHeight="1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</row>
    <row r="204" spans="1:25" ht="14.1" customHeight="1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</row>
    <row r="205" spans="1:25" ht="14.1" customHeight="1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</row>
    <row r="206" spans="1:25" ht="14.1" customHeight="1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</row>
    <row r="207" spans="1:25" ht="14.1" customHeight="1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</row>
    <row r="208" spans="1:25" ht="14.1" customHeight="1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</row>
    <row r="209" spans="1:25" ht="14.1" customHeight="1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</row>
    <row r="210" spans="1:25" ht="14.1" customHeight="1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</row>
    <row r="211" spans="1:25" ht="14.1" customHeight="1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</row>
    <row r="212" spans="1:25" ht="14.1" customHeight="1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</row>
    <row r="213" spans="1:25" ht="14.1" customHeight="1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</row>
    <row r="214" spans="1:25" ht="14.1" customHeight="1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</row>
    <row r="215" spans="1:25" ht="14.1" customHeight="1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</row>
    <row r="216" spans="1:25" ht="14.1" customHeight="1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</row>
    <row r="217" spans="1:25" ht="14.1" customHeight="1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</row>
    <row r="218" spans="1:25" ht="14.1" customHeight="1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</row>
    <row r="219" spans="1:25" ht="14.1" customHeight="1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</row>
    <row r="220" spans="1:25" ht="14.1" customHeight="1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</row>
    <row r="221" spans="1:25" ht="14.1" customHeight="1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</row>
    <row r="222" spans="1:25" ht="14.1" customHeight="1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</row>
    <row r="223" spans="1:25" ht="14.1" customHeight="1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</row>
    <row r="224" spans="1:25" ht="14.1" customHeight="1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</row>
    <row r="225" spans="1:25" ht="14.1" customHeight="1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</row>
    <row r="226" spans="1:25" ht="14.1" customHeight="1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</row>
    <row r="227" spans="1:25" ht="14.1" customHeight="1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</row>
    <row r="228" spans="1:25" ht="14.1" customHeight="1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</row>
    <row r="229" spans="1:25" ht="14.1" customHeight="1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</row>
    <row r="230" spans="1:25" ht="14.1" customHeight="1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</row>
    <row r="231" spans="1:25" ht="14.1" customHeight="1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</row>
    <row r="232" spans="1:25" ht="14.1" customHeight="1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</row>
    <row r="233" spans="1:25" ht="14.1" customHeight="1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</row>
    <row r="234" spans="1:25" ht="14.1" customHeight="1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</row>
    <row r="235" spans="1:25" ht="14.1" customHeight="1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</row>
    <row r="236" spans="1:25" ht="14.1" customHeight="1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</row>
    <row r="237" spans="1:25" ht="14.1" customHeight="1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</row>
    <row r="238" spans="1:25" ht="14.1" customHeight="1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</row>
    <row r="239" spans="1:25" ht="14.1" customHeight="1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</row>
    <row r="240" spans="1:25" ht="14.1" customHeight="1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</row>
    <row r="241" spans="1:25" ht="14.1" customHeight="1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</row>
    <row r="242" spans="1:25" ht="14.1" customHeight="1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</row>
    <row r="243" spans="1:25" ht="14.1" customHeight="1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</row>
    <row r="244" spans="1:25" ht="14.1" customHeight="1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</row>
    <row r="245" spans="1:25" ht="14.1" customHeight="1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</row>
    <row r="246" spans="1:25" ht="14.1" customHeight="1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</row>
    <row r="247" spans="1:25" ht="14.1" customHeight="1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</row>
    <row r="248" spans="1:25" ht="14.1" customHeight="1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</row>
    <row r="249" spans="1:25" ht="14.1" customHeight="1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</row>
    <row r="250" spans="1:25" ht="14.1" customHeight="1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</row>
    <row r="251" spans="1:25" ht="14.1" customHeight="1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</row>
    <row r="252" spans="1:25" ht="14.1" customHeight="1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</row>
    <row r="253" spans="1:25" ht="14.1" customHeight="1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</row>
    <row r="254" spans="1:25" ht="14.1" customHeight="1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</row>
    <row r="255" spans="1:25" ht="14.1" customHeight="1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</row>
    <row r="256" spans="1:25" ht="14.1" customHeight="1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</row>
    <row r="257" spans="1:25" ht="14.1" customHeight="1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</row>
    <row r="258" spans="1:25" ht="14.1" customHeight="1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</row>
    <row r="259" spans="1:25" ht="14.1" customHeight="1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</row>
    <row r="260" spans="1:25" ht="14.1" customHeight="1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</row>
    <row r="261" spans="1:25" ht="14.1" customHeight="1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</row>
    <row r="262" spans="1:25" ht="14.1" customHeight="1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</row>
    <row r="263" spans="1:25" ht="14.1" customHeight="1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</row>
    <row r="264" spans="1:25" ht="14.1" customHeight="1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</row>
    <row r="265" spans="1:25" ht="14.1" customHeight="1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</row>
    <row r="266" spans="1:25" ht="14.1" customHeight="1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</row>
    <row r="267" spans="1:25" ht="14.1" customHeight="1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</row>
    <row r="268" spans="1:25" ht="14.1" customHeight="1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</row>
    <row r="269" spans="1:25" ht="14.1" customHeight="1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</row>
    <row r="270" spans="1:25" ht="14.1" customHeight="1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</row>
    <row r="271" spans="1:25" ht="14.1" customHeight="1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</row>
    <row r="272" spans="1:25" ht="14.1" customHeight="1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</row>
    <row r="273" spans="1:25" ht="14.1" customHeight="1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</row>
    <row r="274" spans="1:25" ht="14.1" customHeight="1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</row>
    <row r="275" spans="1:25" ht="14.1" customHeight="1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</row>
    <row r="276" spans="1:25" ht="14.1" customHeight="1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</row>
    <row r="277" spans="1:25" ht="14.1" customHeight="1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</row>
    <row r="278" spans="1:25" ht="14.1" customHeight="1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</row>
    <row r="279" spans="1:25" ht="14.1" customHeight="1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</row>
    <row r="280" spans="1:25" ht="14.1" customHeight="1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</row>
    <row r="281" spans="1:25" ht="14.1" customHeight="1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</row>
    <row r="282" spans="1:25" ht="14.1" customHeight="1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</row>
    <row r="283" spans="1:25" ht="14.1" customHeight="1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</row>
    <row r="284" spans="1:25" ht="14.1" customHeight="1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</row>
    <row r="285" spans="1:25" ht="14.1" customHeight="1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</row>
    <row r="286" spans="1:25" ht="14.1" customHeight="1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</row>
    <row r="287" spans="1:25" ht="14.1" customHeight="1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</row>
    <row r="288" spans="1:25" ht="14.1" customHeight="1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</row>
    <row r="289" spans="1:25" ht="14.1" customHeight="1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</row>
    <row r="290" spans="1:25" ht="14.1" customHeight="1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</row>
    <row r="291" spans="1:25" ht="14.1" customHeight="1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</row>
    <row r="292" spans="1:25" ht="14.1" customHeight="1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</row>
    <row r="293" spans="1:25" ht="14.1" customHeight="1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</row>
    <row r="294" spans="1:25" ht="14.1" customHeight="1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</row>
    <row r="295" spans="1:25" ht="14.1" customHeight="1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</row>
    <row r="296" spans="1:25" ht="14.1" customHeight="1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</row>
    <row r="297" spans="1:25" ht="14.1" customHeight="1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</row>
    <row r="298" spans="1:25" ht="14.1" customHeight="1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</row>
    <row r="299" spans="1:25" ht="14.1" customHeight="1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</row>
    <row r="300" spans="1:25" ht="14.1" customHeight="1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</row>
    <row r="301" spans="1:25" ht="14.1" customHeight="1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</row>
    <row r="302" spans="1:25" ht="14.1" customHeight="1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</row>
    <row r="303" spans="1:25" ht="14.1" customHeight="1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</row>
    <row r="304" spans="1:25" ht="14.1" customHeight="1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</row>
    <row r="305" spans="1:25" ht="14.1" customHeight="1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</row>
    <row r="306" spans="1:25" ht="14.1" customHeight="1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</row>
    <row r="307" spans="1:25" ht="14.1" customHeight="1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</row>
    <row r="308" spans="1:25" ht="14.1" customHeight="1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</row>
    <row r="309" spans="1:25" ht="14.1" customHeight="1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</row>
    <row r="310" spans="1:25" ht="14.1" customHeight="1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</row>
    <row r="311" spans="1:25" ht="14.1" customHeight="1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</row>
    <row r="312" spans="1:25" ht="14.1" customHeight="1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</row>
    <row r="313" spans="1:25" ht="14.1" customHeight="1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</row>
    <row r="314" spans="1:25" ht="14.1" customHeight="1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</row>
    <row r="315" spans="1:25" ht="14.1" customHeight="1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</row>
    <row r="316" spans="1:25" ht="14.1" customHeight="1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</row>
    <row r="317" spans="1:25" ht="14.1" customHeight="1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</row>
    <row r="318" spans="1:25" ht="14.1" customHeight="1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</row>
    <row r="319" spans="1:25" ht="14.1" customHeight="1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</row>
    <row r="320" spans="1:25" ht="14.1" customHeight="1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</row>
    <row r="321" spans="1:25" ht="14.1" customHeight="1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</row>
    <row r="322" spans="1:25" ht="14.1" customHeight="1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</row>
    <row r="323" spans="1:25" ht="14.1" customHeight="1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</row>
    <row r="324" spans="1:25" ht="14.1" customHeight="1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</row>
    <row r="325" spans="1:25" ht="14.1" customHeight="1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</row>
    <row r="326" spans="1:25" ht="14.1" customHeight="1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</row>
    <row r="327" spans="1:25" ht="14.1" customHeight="1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</row>
    <row r="328" spans="1:25" ht="14.1" customHeight="1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</row>
    <row r="329" spans="1:25" ht="14.1" customHeight="1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</row>
    <row r="330" spans="1:25" ht="14.1" customHeight="1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</row>
    <row r="331" spans="1:25" ht="14.1" customHeight="1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</row>
    <row r="332" spans="1:25" ht="14.1" customHeight="1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</row>
    <row r="333" spans="1:25" ht="14.1" customHeight="1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</row>
    <row r="334" spans="1:25" ht="14.1" customHeight="1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</row>
    <row r="335" spans="1:25" ht="14.1" customHeight="1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</row>
    <row r="336" spans="1:25" ht="14.1" customHeight="1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</row>
    <row r="337" spans="1:25" ht="14.1" customHeight="1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</row>
    <row r="338" spans="1:25" ht="14.1" customHeight="1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</row>
    <row r="339" spans="1:25" ht="14.1" customHeight="1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</row>
    <row r="340" spans="1:25" ht="14.1" customHeight="1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</row>
    <row r="341" spans="1:25" ht="14.1" customHeight="1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</row>
    <row r="342" spans="1:25" ht="14.1" customHeight="1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</row>
    <row r="343" spans="1:25" ht="14.1" customHeight="1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</row>
    <row r="344" spans="1:25" ht="14.1" customHeight="1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</row>
    <row r="345" spans="1:25" ht="14.1" customHeight="1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</row>
    <row r="346" spans="1:25" ht="14.1" customHeight="1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</row>
    <row r="347" spans="1:25" ht="14.1" customHeight="1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</row>
    <row r="348" spans="1:25" ht="14.1" customHeight="1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</row>
    <row r="349" spans="1:25" ht="14.1" customHeight="1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</row>
    <row r="350" spans="1:25" ht="14.1" customHeight="1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</row>
    <row r="351" spans="1:25" ht="14.1" customHeight="1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</row>
    <row r="352" spans="1:25" ht="14.1" customHeight="1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</row>
    <row r="353" spans="1:25" ht="14.1" customHeight="1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</row>
    <row r="354" spans="1:25" ht="14.1" customHeight="1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</row>
    <row r="355" spans="1:25" ht="14.1" customHeight="1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</row>
    <row r="356" spans="1:25" ht="14.1" customHeight="1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</row>
    <row r="357" spans="1:25" ht="14.1" customHeight="1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</row>
    <row r="358" spans="1:25" ht="14.1" customHeight="1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</row>
    <row r="359" spans="1:25" ht="14.1" customHeight="1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</row>
    <row r="360" spans="1:25" ht="14.1" customHeight="1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</row>
    <row r="361" spans="1:25" ht="14.1" customHeight="1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</row>
    <row r="362" spans="1:25" ht="14.1" customHeight="1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</row>
    <row r="363" spans="1:25" ht="14.1" customHeight="1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</row>
    <row r="364" spans="1:25" ht="14.1" customHeight="1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</row>
    <row r="365" spans="1:25" ht="14.1" customHeight="1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</row>
    <row r="366" spans="1:25" ht="14.1" customHeight="1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</row>
    <row r="367" spans="1:25" ht="14.1" customHeight="1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</row>
    <row r="368" spans="1:25" ht="14.1" customHeight="1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</row>
    <row r="369" spans="1:25" ht="14.1" customHeight="1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</row>
    <row r="370" spans="1:25" ht="14.1" customHeight="1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</row>
    <row r="371" spans="1:25" ht="14.1" customHeight="1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</row>
    <row r="372" spans="1:25" ht="14.1" customHeight="1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</row>
    <row r="373" spans="1:25" ht="14.1" customHeight="1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</row>
    <row r="374" spans="1:25" ht="14.1" customHeight="1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</row>
    <row r="375" spans="1:25" ht="14.1" customHeight="1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</row>
    <row r="376" spans="1:25" ht="14.1" customHeight="1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</row>
    <row r="377" spans="1:25" ht="14.1" customHeight="1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</row>
    <row r="378" spans="1:25" ht="14.1" customHeight="1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</row>
    <row r="379" spans="1:25" ht="14.1" customHeight="1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</row>
    <row r="380" spans="1:25" ht="14.1" customHeight="1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</row>
    <row r="381" spans="1:25" ht="14.1" customHeight="1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</row>
    <row r="382" spans="1:25" ht="14.1" customHeight="1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</row>
    <row r="383" spans="1:25" ht="14.1" customHeight="1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</row>
    <row r="384" spans="1:25" ht="14.1" customHeight="1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</row>
    <row r="385" spans="1:25" ht="14.1" customHeight="1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</row>
    <row r="386" spans="1:25" ht="14.1" customHeight="1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</row>
    <row r="387" spans="1:25" ht="14.1" customHeight="1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</row>
    <row r="388" spans="1:25" ht="14.1" customHeight="1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</row>
    <row r="389" spans="1:25" ht="14.1" customHeight="1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</row>
    <row r="390" spans="1:25" ht="14.1" customHeight="1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</row>
    <row r="391" spans="1:25" ht="14.1" customHeight="1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</row>
    <row r="392" spans="1:25" ht="14.1" customHeight="1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</row>
    <row r="393" spans="1:25" ht="14.1" customHeight="1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</row>
    <row r="394" spans="1:25" ht="14.1" customHeight="1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</row>
    <row r="395" spans="1:25" ht="14.1" customHeight="1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</row>
    <row r="396" spans="1:25" ht="14.1" customHeight="1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</row>
    <row r="397" spans="1:25" ht="14.1" customHeight="1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</row>
    <row r="398" spans="1:25" ht="14.1" customHeight="1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</row>
    <row r="399" spans="1:25" ht="14.1" customHeight="1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</row>
    <row r="400" spans="1:25" ht="14.1" customHeight="1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</row>
    <row r="401" spans="1:25" ht="14.1" customHeight="1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</row>
    <row r="402" spans="1:25" ht="14.1" customHeight="1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</row>
    <row r="403" spans="1:25" ht="14.1" customHeight="1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</row>
    <row r="404" spans="1:25" ht="14.1" customHeight="1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</row>
    <row r="405" spans="1:25" ht="14.1" customHeight="1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</row>
    <row r="406" spans="1:25" ht="14.1" customHeight="1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</row>
    <row r="407" spans="1:25" ht="14.1" customHeight="1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</row>
    <row r="408" spans="1:25" ht="14.1" customHeight="1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</row>
    <row r="409" spans="1:25" ht="14.1" customHeight="1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</row>
    <row r="410" spans="1:25" ht="14.1" customHeight="1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</row>
    <row r="411" spans="1:25" ht="14.1" customHeight="1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</row>
    <row r="412" spans="1:25" ht="14.1" customHeight="1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</row>
    <row r="413" spans="1:25" ht="14.1" customHeight="1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</row>
    <row r="414" spans="1:25" ht="14.1" customHeight="1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</row>
    <row r="415" spans="1:25" ht="14.1" customHeight="1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</row>
    <row r="416" spans="1:25" ht="14.1" customHeight="1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</row>
    <row r="417" spans="1:25" ht="14.1" customHeight="1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</row>
    <row r="418" spans="1:25" ht="14.1" customHeight="1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</row>
    <row r="419" spans="1:25" ht="14.1" customHeight="1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</row>
    <row r="420" spans="1:25" ht="14.1" customHeight="1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</row>
    <row r="421" spans="1:25" ht="14.1" customHeight="1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</row>
    <row r="422" spans="1:25" ht="14.1" customHeight="1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</row>
    <row r="423" spans="1:25" ht="14.1" customHeight="1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</row>
    <row r="424" spans="1:25" ht="14.1" customHeight="1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</row>
    <row r="425" spans="1:25" ht="14.1" customHeight="1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</row>
    <row r="426" spans="1:25" ht="14.1" customHeight="1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</row>
    <row r="427" spans="1:25" ht="14.1" customHeight="1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</row>
    <row r="428" spans="1:25" ht="14.1" customHeight="1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</row>
    <row r="429" spans="1:25" ht="14.1" customHeight="1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</row>
    <row r="430" spans="1:25" ht="14.1" customHeight="1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</row>
    <row r="431" spans="1:25" ht="14.1" customHeight="1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</row>
    <row r="432" spans="1:25" ht="14.1" customHeight="1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</row>
    <row r="433" spans="1:25" ht="14.1" customHeight="1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</row>
    <row r="434" spans="1:25" ht="14.1" customHeight="1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</row>
    <row r="435" spans="1:25" ht="14.1" customHeight="1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</row>
    <row r="436" spans="1:25" ht="14.1" customHeight="1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</row>
    <row r="437" spans="1:25" ht="14.1" customHeight="1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</row>
    <row r="438" spans="1:25" ht="14.1" customHeight="1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</row>
    <row r="439" spans="1:25" ht="14.1" customHeight="1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</row>
    <row r="440" spans="1:25" ht="14.1" customHeight="1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</row>
    <row r="441" spans="1:25" ht="14.1" customHeight="1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</row>
    <row r="442" spans="1:25" ht="14.1" customHeight="1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</row>
    <row r="443" spans="1:25" ht="14.1" customHeight="1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</row>
    <row r="444" spans="1:25" ht="14.1" customHeight="1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</row>
    <row r="445" spans="1:25" ht="14.1" customHeight="1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</row>
    <row r="446" spans="1:25" ht="14.1" customHeight="1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</row>
    <row r="447" spans="1:25" ht="14.1" customHeight="1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</row>
    <row r="448" spans="1:25" ht="14.1" customHeight="1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</row>
    <row r="449" spans="1:25" ht="14.1" customHeight="1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</row>
    <row r="450" spans="1:25" ht="14.1" customHeight="1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</row>
    <row r="451" spans="1:25" ht="14.1" customHeight="1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</row>
    <row r="452" spans="1:25" ht="14.1" customHeight="1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</row>
    <row r="453" spans="1:25" ht="14.1" customHeight="1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</row>
    <row r="454" spans="1:25" ht="14.1" customHeight="1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</row>
    <row r="455" spans="1:25" ht="14.1" customHeight="1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</row>
    <row r="456" spans="1:25" ht="14.1" customHeight="1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</row>
    <row r="457" spans="1:25" ht="14.1" customHeight="1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</row>
    <row r="458" spans="1:25" ht="14.1" customHeight="1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</row>
    <row r="459" spans="1:25" ht="14.1" customHeight="1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</row>
    <row r="460" spans="1:25" ht="14.1" customHeight="1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</row>
    <row r="461" spans="1:25" ht="14.1" customHeight="1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</row>
    <row r="462" spans="1:25" ht="14.1" customHeight="1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</row>
    <row r="463" spans="1:25" ht="14.1" customHeight="1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</row>
    <row r="464" spans="1:25" ht="14.1" customHeight="1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</row>
    <row r="465" spans="1:25" ht="14.1" customHeight="1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</row>
    <row r="466" spans="1:25" ht="14.1" customHeight="1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</row>
    <row r="467" spans="1:25" ht="14.1" customHeight="1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</row>
    <row r="468" spans="1:25" ht="14.1" customHeight="1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</row>
    <row r="469" spans="1:25" ht="14.1" customHeight="1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</row>
    <row r="470" spans="1:25" ht="14.1" customHeight="1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</row>
    <row r="471" spans="1:25" ht="14.1" customHeight="1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</row>
    <row r="472" spans="1:25" ht="14.1" customHeight="1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</row>
    <row r="473" spans="1:25" ht="14.1" customHeight="1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</row>
    <row r="474" spans="1:25" ht="14.1" customHeight="1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</row>
    <row r="475" spans="1:25" ht="14.1" customHeight="1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</row>
    <row r="476" spans="1:25" ht="14.1" customHeight="1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</row>
    <row r="477" spans="1:25" ht="14.1" customHeight="1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</row>
    <row r="478" spans="1:25" ht="14.1" customHeight="1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</row>
    <row r="479" spans="1:25" ht="14.1" customHeight="1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</row>
    <row r="480" spans="1:25" ht="14.1" customHeight="1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</row>
    <row r="481" spans="1:25" ht="14.1" customHeight="1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</row>
    <row r="482" spans="1:25" ht="14.1" customHeight="1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</row>
    <row r="483" spans="1:25" ht="14.1" customHeight="1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</row>
    <row r="484" spans="1:25" ht="14.1" customHeight="1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</row>
    <row r="485" spans="1:25" ht="14.1" customHeight="1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</row>
    <row r="486" spans="1:25" ht="14.1" customHeight="1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</row>
    <row r="487" spans="1:25" ht="14.1" customHeight="1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</row>
    <row r="488" spans="1:25" ht="14.1" customHeight="1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</row>
    <row r="489" spans="1:25" ht="14.1" customHeight="1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</row>
    <row r="490" spans="1:25" ht="14.1" customHeight="1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</row>
    <row r="491" spans="1:25" ht="14.1" customHeight="1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</row>
    <row r="492" spans="1:25" ht="14.1" customHeight="1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</row>
    <row r="493" spans="1:25" ht="14.1" customHeight="1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</row>
    <row r="494" spans="1:25" ht="14.1" customHeight="1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</row>
    <row r="495" spans="1:25" ht="14.1" customHeight="1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</row>
    <row r="496" spans="1:25" ht="14.1" customHeight="1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</row>
    <row r="497" spans="1:25" ht="14.1" customHeight="1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</row>
    <row r="498" spans="1:25" ht="14.1" customHeight="1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</row>
    <row r="499" spans="1:25" ht="14.1" customHeight="1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</row>
    <row r="500" spans="1:25" ht="14.1" customHeight="1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</row>
    <row r="501" spans="1:25" ht="14.1" customHeight="1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</row>
    <row r="502" spans="1:25" ht="14.1" customHeight="1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</row>
    <row r="503" spans="1:25" ht="14.1" customHeight="1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</row>
    <row r="504" spans="1:25" ht="14.1" customHeight="1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</row>
    <row r="505" spans="1:25" ht="14.1" customHeight="1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</row>
    <row r="506" spans="1:25" ht="14.1" customHeight="1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</row>
    <row r="507" spans="1:25" ht="14.1" customHeight="1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</row>
    <row r="508" spans="1:25" ht="14.1" customHeight="1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</row>
    <row r="509" spans="1:25" ht="14.1" customHeight="1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</row>
    <row r="510" spans="1:25" ht="14.1" customHeight="1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</row>
    <row r="511" spans="1:25" ht="14.1" customHeight="1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</row>
    <row r="512" spans="1:25" ht="14.1" customHeight="1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</row>
    <row r="513" spans="1:25" ht="14.1" customHeight="1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</row>
    <row r="514" spans="1:25" ht="14.1" customHeight="1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</row>
    <row r="515" spans="1:25" ht="14.1" customHeight="1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</row>
    <row r="516" spans="1:25" ht="14.1" customHeight="1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</row>
    <row r="517" spans="1:25" ht="14.1" customHeight="1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</row>
    <row r="518" spans="1:25" ht="14.1" customHeight="1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</row>
    <row r="519" spans="1:25" ht="14.1" customHeight="1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</row>
    <row r="520" spans="1:25" ht="14.1" customHeight="1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</row>
    <row r="521" spans="1:25" ht="14.1" customHeight="1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</row>
    <row r="522" spans="1:25" ht="14.1" customHeight="1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</row>
    <row r="523" spans="1:25" ht="14.1" customHeight="1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</row>
    <row r="524" spans="1:25" ht="14.1" customHeight="1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</row>
    <row r="525" spans="1:25" ht="14.1" customHeight="1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</row>
    <row r="526" spans="1:25" ht="14.1" customHeight="1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</row>
    <row r="527" spans="1:25" ht="14.1" customHeight="1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</row>
    <row r="528" spans="1:25" ht="14.1" customHeight="1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</row>
    <row r="529" spans="1:25" ht="14.1" customHeight="1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</row>
    <row r="530" spans="1:25" ht="14.1" customHeight="1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</row>
    <row r="531" spans="1:25" ht="14.1" customHeight="1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</row>
    <row r="532" spans="1:25" ht="14.1" customHeight="1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</row>
    <row r="533" spans="1:25" ht="14.1" customHeight="1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</row>
    <row r="534" spans="1:25" ht="14.1" customHeight="1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</row>
    <row r="535" spans="1:25" ht="14.1" customHeight="1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</row>
    <row r="536" spans="1:25" ht="14.1" customHeight="1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</row>
    <row r="537" spans="1:25" ht="14.1" customHeight="1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</row>
    <row r="538" spans="1:25" ht="14.1" customHeight="1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</row>
    <row r="539" spans="1:25" ht="14.1" customHeight="1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</row>
    <row r="540" spans="1:25" ht="14.1" customHeight="1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</row>
    <row r="541" spans="1:25" ht="14.1" customHeight="1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</row>
    <row r="542" spans="1:25" ht="14.1" customHeight="1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</row>
    <row r="543" spans="1:25" ht="14.1" customHeight="1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</row>
    <row r="544" spans="1:25" ht="14.1" customHeight="1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</row>
    <row r="545" spans="1:25" ht="14.1" customHeight="1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</row>
    <row r="546" spans="1:25" ht="14.1" customHeight="1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</row>
    <row r="547" spans="1:25" ht="14.1" customHeight="1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</row>
    <row r="548" spans="1:25" ht="14.1" customHeight="1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</row>
    <row r="549" spans="1:25" ht="14.1" customHeight="1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</row>
    <row r="550" spans="1:25" ht="14.1" customHeight="1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</row>
    <row r="551" spans="1:25" ht="14.1" customHeight="1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</row>
    <row r="552" spans="1:25" ht="14.1" customHeight="1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</row>
    <row r="553" spans="1:25" ht="14.1" customHeight="1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</row>
    <row r="554" spans="1:25" ht="14.1" customHeight="1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</row>
    <row r="555" spans="1:25" ht="14.1" customHeight="1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</row>
    <row r="556" spans="1:25" ht="14.1" customHeight="1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</row>
    <row r="557" spans="1:25" ht="14.1" customHeight="1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</row>
    <row r="558" spans="1:25" ht="14.1" customHeight="1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</row>
    <row r="559" spans="1:25" ht="14.1" customHeight="1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</row>
    <row r="560" spans="1:25" ht="14.1" customHeight="1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</row>
    <row r="561" spans="1:25" ht="14.1" customHeight="1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</row>
    <row r="562" spans="1:25" ht="14.1" customHeight="1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</row>
    <row r="563" spans="1:25" ht="14.1" customHeight="1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</row>
    <row r="564" spans="1:25" ht="14.1" customHeight="1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</row>
    <row r="565" spans="1:25" ht="14.1" customHeight="1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</row>
    <row r="566" spans="1:25" ht="14.1" customHeight="1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</row>
    <row r="567" spans="1:25" ht="14.1" customHeight="1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</row>
    <row r="568" spans="1:25" ht="14.1" customHeight="1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</row>
    <row r="569" spans="1:25" ht="14.1" customHeight="1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</row>
    <row r="570" spans="1:25" ht="14.1" customHeight="1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</row>
    <row r="571" spans="1:25" ht="14.1" customHeight="1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</row>
    <row r="572" spans="1:25" ht="14.1" customHeight="1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</row>
    <row r="573" spans="1:25" ht="14.1" customHeight="1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</row>
    <row r="574" spans="1:25" ht="14.1" customHeight="1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</row>
    <row r="575" spans="1:25" ht="14.1" customHeight="1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</row>
    <row r="576" spans="1:25" ht="14.1" customHeight="1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</row>
    <row r="577" spans="1:25" ht="14.1" customHeight="1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</row>
    <row r="578" spans="1:25" ht="14.1" customHeight="1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</row>
    <row r="579" spans="1:25" ht="14.1" customHeight="1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</row>
    <row r="580" spans="1:25" ht="14.1" customHeight="1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</row>
    <row r="581" spans="1:25" ht="14.1" customHeight="1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</row>
    <row r="582" spans="1:25" ht="14.1" customHeight="1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</row>
    <row r="583" spans="1:25" ht="14.1" customHeight="1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</row>
    <row r="584" spans="1:25" ht="14.1" customHeight="1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</row>
    <row r="585" spans="1:25" ht="14.1" customHeight="1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</row>
    <row r="586" spans="1:25" ht="14.1" customHeight="1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</row>
    <row r="587" spans="1:25" ht="14.1" customHeight="1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</row>
    <row r="588" spans="1:25" ht="14.1" customHeight="1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</row>
    <row r="589" spans="1:25" ht="14.1" customHeight="1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</row>
    <row r="590" spans="1:25" ht="14.1" customHeight="1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</row>
    <row r="591" spans="1:25" ht="14.1" customHeight="1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</row>
    <row r="592" spans="1:25" ht="14.1" customHeight="1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</row>
    <row r="593" spans="1:25" ht="14.1" customHeight="1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</row>
    <row r="594" spans="1:25" ht="14.1" customHeight="1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</row>
    <row r="595" spans="1:25" ht="14.1" customHeight="1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</row>
    <row r="596" spans="1:25" ht="14.1" customHeight="1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</row>
    <row r="597" spans="1:25" ht="14.1" customHeight="1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</row>
    <row r="598" spans="1:25" ht="14.1" customHeight="1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</row>
    <row r="599" spans="1:25" ht="14.1" customHeight="1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</row>
    <row r="600" spans="1:25" ht="14.1" customHeight="1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</row>
    <row r="601" spans="1:25" ht="14.1" customHeight="1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</row>
    <row r="602" spans="1:25" ht="14.1" customHeight="1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</row>
    <row r="603" spans="1:25" ht="14.1" customHeight="1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</row>
    <row r="604" spans="1:25" ht="14.1" customHeight="1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</row>
    <row r="605" spans="1:25" ht="14.1" customHeight="1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</row>
    <row r="606" spans="1:25" ht="14.1" customHeight="1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</row>
    <row r="607" spans="1:25" ht="14.1" customHeight="1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</row>
    <row r="608" spans="1:25" ht="14.1" customHeight="1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</row>
    <row r="609" spans="1:25" ht="14.1" customHeight="1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</row>
    <row r="610" spans="1:25" ht="14.1" customHeight="1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</row>
    <row r="611" spans="1:25" ht="14.1" customHeight="1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</row>
    <row r="612" spans="1:25" ht="14.1" customHeight="1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</row>
    <row r="613" spans="1:25" ht="14.1" customHeight="1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</row>
    <row r="614" spans="1:25" ht="14.1" customHeight="1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</row>
    <row r="615" spans="1:25" ht="14.1" customHeight="1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</row>
    <row r="616" spans="1:25" ht="14.1" customHeight="1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</row>
    <row r="617" spans="1:25" ht="14.1" customHeight="1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</row>
    <row r="618" spans="1:25" ht="14.1" customHeight="1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</row>
    <row r="619" spans="1:25" ht="14.1" customHeight="1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</row>
    <row r="620" spans="1:25" ht="14.1" customHeight="1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</row>
    <row r="621" spans="1:25" ht="14.1" customHeight="1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</row>
    <row r="622" spans="1:25" ht="14.1" customHeight="1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</row>
    <row r="623" spans="1:25" ht="14.1" customHeight="1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</row>
    <row r="624" spans="1:25" ht="14.1" customHeight="1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</row>
    <row r="625" spans="1:25" ht="14.1" customHeight="1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</row>
    <row r="626" spans="1:25" ht="14.1" customHeight="1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</row>
    <row r="627" spans="1:25" ht="14.1" customHeight="1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</row>
    <row r="628" spans="1:25" ht="14.1" customHeight="1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</row>
    <row r="629" spans="1:25" ht="14.1" customHeight="1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</row>
    <row r="630" spans="1:25" ht="14.1" customHeight="1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</row>
    <row r="631" spans="1:25" ht="14.1" customHeight="1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</row>
    <row r="632" spans="1:25" ht="14.1" customHeight="1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</row>
    <row r="633" spans="1:25" ht="14.1" customHeight="1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</row>
    <row r="634" spans="1:25" ht="14.1" customHeight="1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</row>
    <row r="635" spans="1:25" ht="14.1" customHeight="1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</row>
    <row r="636" spans="1:25" ht="14.1" customHeight="1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</row>
    <row r="637" spans="1:25" ht="14.1" customHeight="1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</row>
    <row r="638" spans="1:25" ht="14.1" customHeight="1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</row>
    <row r="639" spans="1:25" ht="14.1" customHeight="1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</row>
    <row r="640" spans="1:25" ht="14.1" customHeight="1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</row>
    <row r="641" spans="1:25" ht="14.1" customHeight="1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</row>
    <row r="642" spans="1:25" ht="14.1" customHeight="1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</row>
    <row r="643" spans="1:25" ht="14.1" customHeight="1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</row>
    <row r="644" spans="1:25" ht="14.1" customHeight="1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</row>
    <row r="645" spans="1:25" ht="14.1" customHeight="1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</row>
    <row r="646" spans="1:25" ht="14.1" customHeight="1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</row>
    <row r="647" spans="1:25" ht="14.1" customHeight="1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</row>
    <row r="648" spans="1:25" ht="14.1" customHeight="1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</row>
    <row r="649" spans="1:25" ht="14.1" customHeight="1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</row>
    <row r="650" spans="1:25" ht="14.1" customHeight="1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</row>
    <row r="651" spans="1:25" ht="14.1" customHeight="1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</row>
    <row r="652" spans="1:25" ht="14.1" customHeight="1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</row>
    <row r="653" spans="1:25" ht="14.1" customHeight="1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</row>
    <row r="654" spans="1:25" ht="14.1" customHeight="1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</row>
    <row r="655" spans="1:25" ht="14.1" customHeight="1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</row>
    <row r="656" spans="1:25" ht="14.1" customHeight="1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</row>
    <row r="657" spans="1:25" ht="14.1" customHeight="1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</row>
    <row r="658" spans="1:25" ht="14.1" customHeight="1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</row>
    <row r="659" spans="1:25" ht="14.1" customHeight="1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</row>
    <row r="660" spans="1:25" ht="14.1" customHeight="1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</row>
    <row r="661" spans="1:25" ht="14.1" customHeight="1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</row>
    <row r="662" spans="1:25" ht="14.1" customHeight="1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</row>
    <row r="663" spans="1:25" ht="14.1" customHeight="1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</row>
    <row r="664" spans="1:25" ht="14.1" customHeight="1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</row>
    <row r="665" spans="1:25" ht="14.1" customHeight="1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</row>
    <row r="666" spans="1:25" ht="14.1" customHeight="1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</row>
    <row r="667" spans="1:25" ht="14.1" customHeight="1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</row>
    <row r="668" spans="1:25" ht="14.1" customHeight="1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</row>
    <row r="669" spans="1:25" ht="14.1" customHeight="1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</row>
    <row r="670" spans="1:25" ht="14.1" customHeight="1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</row>
    <row r="671" spans="1:25" ht="14.1" customHeight="1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</row>
    <row r="672" spans="1:25" ht="14.1" customHeight="1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</row>
    <row r="673" spans="1:25" ht="14.1" customHeight="1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</row>
    <row r="674" spans="1:25" ht="14.1" customHeight="1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</row>
    <row r="675" spans="1:25" ht="14.1" customHeight="1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</row>
    <row r="676" spans="1:25" ht="14.1" customHeight="1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</row>
    <row r="677" spans="1:25" ht="14.1" customHeight="1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</row>
    <row r="678" spans="1:25" ht="14.1" customHeight="1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</row>
    <row r="679" spans="1:25" ht="14.1" customHeight="1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</row>
    <row r="680" spans="1:25" ht="14.1" customHeight="1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</row>
    <row r="681" spans="1:25" ht="14.1" customHeight="1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</row>
    <row r="682" spans="1:25" ht="14.1" customHeight="1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</row>
    <row r="683" spans="1:25" ht="14.1" customHeight="1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</row>
    <row r="684" spans="1:25" ht="14.1" customHeight="1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</row>
    <row r="685" spans="1:25" ht="14.1" customHeight="1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</row>
    <row r="686" spans="1:25" ht="14.1" customHeight="1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</row>
    <row r="687" spans="1:25" ht="14.1" customHeight="1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</row>
    <row r="688" spans="1:25" ht="14.1" customHeight="1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</row>
    <row r="689" spans="1:25" ht="14.1" customHeight="1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</row>
    <row r="690" spans="1:25" ht="14.1" customHeight="1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</row>
    <row r="691" spans="1:25" ht="14.1" customHeight="1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</row>
    <row r="692" spans="1:25" ht="14.1" customHeight="1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</row>
    <row r="693" spans="1:25" ht="14.1" customHeight="1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</row>
    <row r="694" spans="1:25" ht="14.1" customHeight="1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</row>
    <row r="695" spans="1:25" ht="14.1" customHeight="1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</row>
    <row r="696" spans="1:25" ht="14.1" customHeight="1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</row>
    <row r="697" spans="1:25" ht="14.1" customHeight="1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</row>
    <row r="698" spans="1:25" ht="14.1" customHeight="1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</row>
    <row r="699" spans="1:25" ht="14.1" customHeight="1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</row>
    <row r="700" spans="1:25" ht="14.1" customHeight="1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</row>
    <row r="701" spans="1:25" ht="14.1" customHeight="1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</row>
    <row r="702" spans="1:25" ht="14.1" customHeight="1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</row>
    <row r="703" spans="1:25" ht="14.1" customHeight="1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</row>
    <row r="704" spans="1:25" ht="14.1" customHeight="1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</row>
    <row r="705" spans="1:25" ht="14.1" customHeight="1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</row>
    <row r="706" spans="1:25" ht="14.1" customHeight="1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</row>
    <row r="707" spans="1:25" ht="14.1" customHeight="1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</row>
    <row r="708" spans="1:25" ht="14.1" customHeight="1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</row>
    <row r="709" spans="1:25" ht="14.1" customHeight="1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</row>
    <row r="710" spans="1:25" ht="14.1" customHeight="1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</row>
    <row r="711" spans="1:25" ht="14.1" customHeight="1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</row>
    <row r="712" spans="1:25" ht="14.1" customHeight="1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</row>
    <row r="713" spans="1:25" ht="14.1" customHeight="1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</row>
    <row r="714" spans="1:25" ht="14.1" customHeight="1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</row>
    <row r="715" spans="1:25" ht="14.1" customHeight="1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</row>
    <row r="716" spans="1:25" ht="14.1" customHeight="1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</row>
    <row r="717" spans="1:25" ht="14.1" customHeight="1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</row>
    <row r="718" spans="1:25" ht="14.1" customHeight="1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</row>
    <row r="719" spans="1:25" ht="14.1" customHeight="1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</row>
    <row r="720" spans="1:25" ht="14.1" customHeight="1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</row>
    <row r="721" spans="1:25" ht="14.1" customHeight="1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</row>
    <row r="722" spans="1:25" ht="14.1" customHeight="1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</row>
    <row r="723" spans="1:25" ht="14.1" customHeight="1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</row>
    <row r="724" spans="1:25" ht="14.1" customHeight="1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</row>
    <row r="725" spans="1:25" ht="14.1" customHeight="1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</row>
    <row r="726" spans="1:25" ht="14.1" customHeight="1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</row>
    <row r="727" spans="1:25" ht="14.1" customHeight="1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</row>
    <row r="728" spans="1:25" ht="14.1" customHeight="1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</row>
    <row r="729" spans="1:25" ht="14.1" customHeight="1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</row>
    <row r="730" spans="1:25" ht="14.1" customHeight="1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</row>
    <row r="731" spans="1:25" ht="14.1" customHeight="1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</row>
    <row r="732" spans="1:25" ht="14.1" customHeight="1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</row>
    <row r="733" spans="1:25" ht="14.1" customHeight="1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</row>
    <row r="734" spans="1:25" ht="14.1" customHeight="1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</row>
    <row r="735" spans="1:25" ht="14.1" customHeight="1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</row>
    <row r="736" spans="1:25" ht="14.1" customHeight="1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</row>
    <row r="737" spans="1:25" ht="14.1" customHeight="1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</row>
    <row r="738" spans="1:25" ht="14.1" customHeight="1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</row>
    <row r="739" spans="1:25" ht="14.1" customHeight="1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</row>
    <row r="740" spans="1:25" ht="14.1" customHeight="1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</row>
    <row r="741" spans="1:25" ht="14.1" customHeight="1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</row>
    <row r="742" spans="1:25" ht="14.1" customHeight="1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</row>
    <row r="743" spans="1:25" ht="14.1" customHeight="1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</row>
    <row r="744" spans="1:25" ht="14.1" customHeight="1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</row>
    <row r="745" spans="1:25" ht="14.1" customHeight="1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</row>
    <row r="746" spans="1:25" ht="14.1" customHeight="1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</row>
    <row r="747" spans="1:25" ht="14.1" customHeight="1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</row>
    <row r="748" spans="1:25" ht="14.1" customHeight="1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</row>
    <row r="749" spans="1:25" ht="14.1" customHeight="1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</row>
    <row r="750" spans="1:25" ht="14.1" customHeight="1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</row>
    <row r="751" spans="1:25" ht="14.1" customHeight="1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</row>
    <row r="752" spans="1:25" ht="14.1" customHeight="1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</row>
    <row r="753" spans="1:25" ht="14.1" customHeight="1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</row>
    <row r="754" spans="1:25" ht="14.1" customHeight="1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</row>
    <row r="755" spans="1:25" ht="14.1" customHeight="1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</row>
    <row r="756" spans="1:25" ht="14.1" customHeight="1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</row>
    <row r="757" spans="1:25" ht="14.1" customHeight="1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</row>
    <row r="758" spans="1:25" ht="14.1" customHeight="1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</row>
    <row r="759" spans="1:25" ht="14.1" customHeight="1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</row>
    <row r="760" spans="1:25" ht="14.1" customHeight="1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</row>
    <row r="761" spans="1:25" ht="14.1" customHeight="1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</row>
    <row r="762" spans="1:25" ht="14.1" customHeight="1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</row>
    <row r="763" spans="1:25" ht="14.1" customHeight="1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</row>
    <row r="764" spans="1:25" ht="14.1" customHeight="1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</row>
    <row r="765" spans="1:25" ht="14.1" customHeight="1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</row>
    <row r="766" spans="1:25" ht="14.1" customHeight="1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</row>
    <row r="767" spans="1:25" ht="14.1" customHeight="1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</row>
    <row r="768" spans="1:25" ht="14.1" customHeight="1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</row>
    <row r="769" spans="1:25" ht="14.1" customHeight="1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</row>
    <row r="770" spans="1:25" ht="14.1" customHeight="1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</row>
    <row r="771" spans="1:25" ht="14.1" customHeight="1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</row>
    <row r="772" spans="1:25" ht="14.1" customHeight="1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</row>
    <row r="773" spans="1:25" ht="14.1" customHeight="1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</row>
    <row r="774" spans="1:25" ht="14.1" customHeight="1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</row>
    <row r="775" spans="1:25" ht="14.1" customHeight="1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</row>
    <row r="776" spans="1:25" ht="14.1" customHeight="1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</row>
    <row r="777" spans="1:25" ht="14.1" customHeight="1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</row>
    <row r="778" spans="1:25" ht="14.1" customHeight="1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</row>
    <row r="779" spans="1:25" ht="14.1" customHeight="1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</row>
    <row r="780" spans="1:25" ht="14.1" customHeight="1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</row>
    <row r="781" spans="1:25" ht="14.1" customHeight="1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</row>
    <row r="782" spans="1:25" ht="14.1" customHeight="1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</row>
    <row r="783" spans="1:25" ht="14.1" customHeight="1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</row>
    <row r="784" spans="1:25" ht="14.1" customHeight="1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</row>
    <row r="785" spans="1:25" ht="14.1" customHeight="1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</row>
    <row r="786" spans="1:25" ht="14.1" customHeight="1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</row>
    <row r="787" spans="1:25" ht="14.1" customHeight="1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</row>
    <row r="788" spans="1:25" ht="14.1" customHeight="1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</row>
    <row r="789" spans="1:25" ht="14.1" customHeight="1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</row>
    <row r="790" spans="1:25" ht="14.1" customHeight="1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</row>
    <row r="791" spans="1:25" ht="14.1" customHeight="1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</row>
    <row r="792" spans="1:25" ht="14.1" customHeight="1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</row>
    <row r="793" spans="1:25" ht="14.1" customHeight="1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</row>
    <row r="794" spans="1:25" ht="14.1" customHeight="1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</row>
    <row r="795" spans="1:25" ht="14.1" customHeight="1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</row>
    <row r="796" spans="1:25" ht="14.1" customHeight="1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</row>
    <row r="797" spans="1:25" ht="14.1" customHeight="1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</row>
    <row r="798" spans="1:25" ht="14.1" customHeight="1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</row>
    <row r="799" spans="1:25" ht="14.1" customHeight="1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</row>
    <row r="800" spans="1:25" ht="14.1" customHeight="1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</row>
    <row r="801" spans="1:25" ht="14.1" customHeight="1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</row>
    <row r="802" spans="1:25" ht="14.1" customHeight="1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</row>
    <row r="803" spans="1:25" ht="14.1" customHeight="1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</row>
    <row r="804" spans="1:25" ht="14.1" customHeight="1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</row>
    <row r="805" spans="1:25" ht="14.1" customHeight="1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</row>
    <row r="806" spans="1:25" ht="14.1" customHeight="1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</row>
    <row r="807" spans="1:25" ht="14.1" customHeight="1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</row>
    <row r="808" spans="1:25" ht="14.1" customHeight="1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</row>
    <row r="809" spans="1:25" ht="14.1" customHeight="1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</row>
    <row r="810" spans="1:25" ht="14.1" customHeight="1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</row>
    <row r="811" spans="1:25" ht="14.1" customHeight="1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</row>
    <row r="812" spans="1:25" ht="14.1" customHeight="1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</row>
    <row r="813" spans="1:25" ht="14.1" customHeight="1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</row>
    <row r="814" spans="1:25" ht="14.1" customHeight="1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</row>
    <row r="815" spans="1:25" ht="14.1" customHeight="1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</row>
    <row r="816" spans="1:25" ht="14.1" customHeight="1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</row>
    <row r="817" spans="1:25" ht="14.1" customHeight="1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</row>
    <row r="818" spans="1:25" ht="14.1" customHeight="1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</row>
    <row r="819" spans="1:25" ht="14.1" customHeight="1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</row>
    <row r="820" spans="1:25" ht="14.1" customHeight="1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</row>
    <row r="821" spans="1:25" ht="14.1" customHeight="1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</row>
    <row r="822" spans="1:25" ht="14.1" customHeight="1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</row>
    <row r="823" spans="1:25" ht="14.1" customHeight="1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</row>
    <row r="824" spans="1:25" ht="14.1" customHeight="1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</row>
    <row r="825" spans="1:25" ht="14.1" customHeight="1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</row>
    <row r="826" spans="1:25" ht="14.1" customHeight="1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</row>
    <row r="827" spans="1:25" ht="14.1" customHeight="1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</row>
    <row r="828" spans="1:25" ht="14.1" customHeight="1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</row>
    <row r="829" spans="1:25" ht="14.1" customHeight="1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</row>
    <row r="830" spans="1:25" ht="14.1" customHeight="1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</row>
    <row r="831" spans="1:25" ht="14.1" customHeight="1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</row>
    <row r="832" spans="1:25" ht="14.1" customHeight="1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</row>
    <row r="833" spans="1:25" ht="14.1" customHeight="1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</row>
    <row r="834" spans="1:25" ht="14.1" customHeight="1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</row>
    <row r="835" spans="1:25" ht="14.1" customHeight="1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</row>
    <row r="836" spans="1:25" ht="14.1" customHeight="1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</row>
    <row r="837" spans="1:25" ht="14.1" customHeight="1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</row>
    <row r="838" spans="1:25" ht="14.1" customHeight="1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</row>
    <row r="839" spans="1:25" ht="14.1" customHeight="1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</row>
    <row r="840" spans="1:25" ht="14.1" customHeight="1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</row>
    <row r="841" spans="1:25" ht="14.1" customHeight="1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</row>
    <row r="842" spans="1:25" ht="14.1" customHeight="1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</row>
    <row r="843" spans="1:25" ht="14.1" customHeight="1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</row>
    <row r="844" spans="1:25" ht="14.1" customHeight="1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</row>
    <row r="845" spans="1:25" ht="14.1" customHeight="1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</row>
    <row r="846" spans="1:25" ht="14.1" customHeight="1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</row>
    <row r="847" spans="1:25" ht="14.1" customHeight="1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</row>
    <row r="848" spans="1:25" ht="14.1" customHeight="1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</row>
    <row r="849" spans="1:25" ht="14.1" customHeight="1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</row>
    <row r="850" spans="1:25" ht="14.1" customHeight="1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</row>
    <row r="851" spans="1:25" ht="14.1" customHeight="1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</row>
    <row r="852" spans="1:25" ht="14.1" customHeight="1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</row>
    <row r="853" spans="1:25" ht="14.1" customHeight="1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</row>
    <row r="854" spans="1:25" ht="14.1" customHeight="1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</row>
    <row r="855" spans="1:25" ht="14.1" customHeight="1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</row>
    <row r="856" spans="1:25" ht="14.1" customHeight="1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</row>
    <row r="857" spans="1:25" ht="14.1" customHeight="1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</row>
    <row r="858" spans="1:25" ht="14.1" customHeight="1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</row>
    <row r="859" spans="1:25" ht="14.1" customHeight="1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</row>
    <row r="860" spans="1:25" ht="14.1" customHeight="1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</row>
    <row r="861" spans="1:25" ht="14.1" customHeight="1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</row>
    <row r="862" spans="1:25" ht="14.1" customHeight="1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</row>
    <row r="863" spans="1:25" ht="14.1" customHeight="1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</row>
    <row r="864" spans="1:25" ht="14.1" customHeight="1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</row>
    <row r="865" spans="1:25" ht="14.1" customHeight="1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</row>
    <row r="866" spans="1:25" ht="14.1" customHeight="1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</row>
    <row r="867" spans="1:25" ht="14.1" customHeight="1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</row>
    <row r="868" spans="1:25" ht="14.1" customHeight="1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</row>
    <row r="869" spans="1:25" ht="14.1" customHeight="1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</row>
    <row r="870" spans="1:25" ht="14.1" customHeight="1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</row>
    <row r="871" spans="1:25" ht="14.1" customHeight="1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</row>
    <row r="872" spans="1:25" ht="14.1" customHeight="1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</row>
    <row r="873" spans="1:25" ht="14.1" customHeight="1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</row>
    <row r="874" spans="1:25" ht="14.1" customHeight="1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</row>
    <row r="875" spans="1:25" ht="14.1" customHeight="1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</row>
    <row r="876" spans="1:25" ht="14.1" customHeight="1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</row>
    <row r="877" spans="1:25" ht="14.1" customHeight="1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</row>
    <row r="878" spans="1:25" ht="14.1" customHeight="1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</row>
    <row r="879" spans="1:25" ht="14.1" customHeight="1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</row>
    <row r="880" spans="1:25" ht="14.1" customHeight="1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</row>
    <row r="881" spans="1:25" ht="14.1" customHeight="1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</row>
    <row r="882" spans="1:25" ht="14.1" customHeight="1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</row>
    <row r="883" spans="1:25" ht="14.1" customHeight="1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</row>
    <row r="884" spans="1:25" ht="14.1" customHeight="1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</row>
    <row r="885" spans="1:25" ht="14.1" customHeight="1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</row>
    <row r="886" spans="1:25" ht="14.1" customHeight="1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</row>
    <row r="887" spans="1:25" ht="14.1" customHeight="1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</row>
    <row r="888" spans="1:25" ht="14.1" customHeight="1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</row>
    <row r="889" spans="1:25" ht="14.1" customHeight="1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</row>
    <row r="890" spans="1:25" ht="14.1" customHeight="1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</row>
    <row r="891" spans="1:25" ht="14.1" customHeight="1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</row>
    <row r="892" spans="1:25" ht="14.1" customHeight="1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</row>
    <row r="893" spans="1:25" ht="14.1" customHeight="1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</row>
    <row r="894" spans="1:25" ht="14.1" customHeight="1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</row>
    <row r="895" spans="1:25" ht="14.1" customHeight="1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</row>
    <row r="896" spans="1:25" ht="14.1" customHeight="1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</row>
    <row r="897" spans="1:25" ht="14.1" customHeight="1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</row>
    <row r="898" spans="1:25" ht="14.1" customHeight="1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</row>
    <row r="899" spans="1:25" ht="14.1" customHeight="1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</row>
    <row r="900" spans="1:25" ht="14.1" customHeight="1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</row>
    <row r="901" spans="1:25" ht="14.1" customHeight="1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</row>
    <row r="902" spans="1:25" ht="14.1" customHeight="1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</row>
    <row r="903" spans="1:25" ht="14.1" customHeight="1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</row>
    <row r="904" spans="1:25" ht="14.1" customHeight="1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</row>
    <row r="905" spans="1:25" ht="14.1" customHeight="1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</row>
    <row r="906" spans="1:25" ht="14.1" customHeight="1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</row>
    <row r="907" spans="1:25" ht="14.1" customHeight="1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</row>
    <row r="908" spans="1:25" ht="14.1" customHeight="1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</row>
    <row r="909" spans="1:25" ht="14.1" customHeight="1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</row>
    <row r="910" spans="1:25" ht="14.1" customHeight="1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</row>
    <row r="911" spans="1:25" ht="14.1" customHeight="1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</row>
    <row r="912" spans="1:25" ht="14.1" customHeight="1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</row>
    <row r="913" spans="1:25" ht="14.1" customHeight="1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</row>
    <row r="914" spans="1:25" ht="14.1" customHeight="1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</row>
    <row r="915" spans="1:25" ht="14.1" customHeight="1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</row>
    <row r="916" spans="1:25" ht="14.1" customHeight="1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</row>
    <row r="917" spans="1:25" ht="14.1" customHeight="1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</row>
    <row r="918" spans="1:25" ht="14.1" customHeight="1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</row>
    <row r="919" spans="1:25" ht="14.1" customHeight="1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</row>
    <row r="920" spans="1:25" ht="14.1" customHeight="1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</row>
    <row r="921" spans="1:25" ht="14.1" customHeight="1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</row>
    <row r="922" spans="1:25" ht="14.1" customHeight="1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</row>
    <row r="923" spans="1:25" ht="14.1" customHeight="1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</row>
    <row r="924" spans="1:25" ht="14.1" customHeight="1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</row>
    <row r="925" spans="1:25" ht="14.1" customHeight="1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</row>
    <row r="926" spans="1:25" ht="14.1" customHeight="1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</row>
    <row r="927" spans="1:25" ht="14.1" customHeight="1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</row>
    <row r="928" spans="1:25" ht="14.1" customHeight="1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</row>
    <row r="929" spans="1:25" ht="14.1" customHeight="1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</row>
    <row r="930" spans="1:25" ht="14.1" customHeight="1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</row>
    <row r="931" spans="1:25" ht="14.1" customHeight="1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</row>
    <row r="932" spans="1:25" ht="14.1" customHeight="1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</row>
    <row r="933" spans="1:25" ht="14.1" customHeight="1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</row>
    <row r="934" spans="1:25" ht="14.1" customHeight="1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</row>
    <row r="935" spans="1:25" ht="14.1" customHeight="1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</row>
    <row r="936" spans="1:25" ht="14.1" customHeight="1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</row>
    <row r="937" spans="1:25" ht="14.1" customHeight="1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</row>
    <row r="938" spans="1:25" ht="14.1" customHeight="1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</row>
    <row r="939" spans="1:25" ht="14.1" customHeight="1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</row>
    <row r="940" spans="1:25" ht="14.1" customHeight="1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</row>
    <row r="941" spans="1:25" ht="14.1" customHeight="1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</row>
    <row r="942" spans="1:25" ht="14.1" customHeight="1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</row>
    <row r="943" spans="1:25" ht="14.1" customHeight="1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</row>
    <row r="944" spans="1:25" ht="14.1" customHeight="1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</row>
    <row r="945" spans="1:25" ht="14.1" customHeight="1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</row>
    <row r="946" spans="1:25" ht="14.1" customHeight="1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</row>
    <row r="947" spans="1:25" ht="14.1" customHeight="1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</row>
    <row r="948" spans="1:25" ht="14.1" customHeight="1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</row>
    <row r="949" spans="1:25" ht="14.1" customHeight="1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</row>
    <row r="950" spans="1:25" ht="14.1" customHeight="1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</row>
    <row r="951" spans="1:25" ht="14.1" customHeight="1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</row>
    <row r="952" spans="1:25" ht="14.1" customHeight="1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</row>
    <row r="953" spans="1:25" ht="14.1" customHeight="1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</row>
    <row r="954" spans="1:25" ht="14.1" customHeight="1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</row>
    <row r="955" spans="1:25" ht="14.1" customHeight="1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</row>
    <row r="956" spans="1:25" ht="14.1" customHeight="1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</row>
    <row r="957" spans="1:25" ht="14.1" customHeight="1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</row>
    <row r="958" spans="1:25" ht="14.1" customHeight="1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</row>
    <row r="959" spans="1:25" ht="14.1" customHeight="1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</row>
    <row r="960" spans="1:25" ht="14.1" customHeight="1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</row>
    <row r="961" spans="1:25" ht="14.1" customHeight="1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</row>
    <row r="962" spans="1:25" ht="14.1" customHeight="1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</row>
    <row r="963" spans="1:25" ht="14.1" customHeight="1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</row>
    <row r="964" spans="1:25" ht="14.1" customHeight="1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</row>
    <row r="965" spans="1:25" ht="14.1" customHeight="1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</row>
    <row r="966" spans="1:25" ht="14.1" customHeight="1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</row>
    <row r="967" spans="1:25" ht="14.1" customHeight="1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</row>
    <row r="968" spans="1:25" ht="14.1" customHeight="1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</row>
    <row r="969" spans="1:25" ht="14.1" customHeight="1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</row>
    <row r="970" spans="1:25" ht="14.1" customHeight="1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</row>
    <row r="971" spans="1:25" ht="14.1" customHeight="1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</row>
    <row r="972" spans="1:25" ht="14.1" customHeight="1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</row>
    <row r="973" spans="1:25" ht="14.1" customHeight="1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</row>
    <row r="974" spans="1:25" ht="14.1" customHeight="1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</row>
    <row r="975" spans="1:25" ht="14.1" customHeight="1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</row>
    <row r="976" spans="1:25" ht="14.1" customHeight="1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</row>
    <row r="977" spans="1:25" ht="14.1" customHeight="1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</row>
    <row r="978" spans="1:25" ht="14.1" customHeight="1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</row>
    <row r="979" spans="1:25" ht="14.1" customHeight="1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</row>
    <row r="980" spans="1:25" ht="14.1" customHeight="1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</row>
    <row r="981" spans="1:25" ht="14.1" customHeight="1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</row>
    <row r="982" spans="1:25" ht="14.1" customHeight="1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</row>
    <row r="983" spans="1:25" ht="14.1" customHeight="1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</row>
    <row r="984" spans="1:25" ht="14.1" customHeight="1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</row>
    <row r="985" spans="1:25" ht="14.1" customHeight="1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</row>
    <row r="986" spans="1:25" ht="14.1" customHeight="1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</row>
    <row r="987" spans="1:25" ht="14.1" customHeight="1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</row>
    <row r="988" spans="1:25" ht="14.1" customHeight="1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</row>
    <row r="989" spans="1:25" ht="14.1" customHeight="1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</row>
    <row r="990" spans="1:25" ht="14.1" customHeight="1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</row>
    <row r="991" spans="1:25" ht="14.1" customHeight="1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</row>
    <row r="992" spans="1:25" ht="14.1" customHeight="1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</row>
    <row r="993" spans="1:25" ht="14.1" customHeight="1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</row>
    <row r="994" spans="1:25" ht="14.1" customHeight="1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</row>
    <row r="995" spans="1:25" ht="14.1" customHeight="1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</row>
    <row r="996" spans="1:25" ht="14.1" customHeight="1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</row>
    <row r="997" spans="1:25" ht="14.1" customHeight="1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</row>
    <row r="998" spans="1:25" ht="14.1" customHeight="1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</row>
    <row r="999" spans="1:25" ht="14.1" customHeight="1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</row>
    <row r="1000" spans="1:25" ht="14.1" customHeight="1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</row>
  </sheetData>
  <mergeCells count="12">
    <mergeCell ref="BC16:BD16"/>
    <mergeCell ref="BE17:BT17"/>
    <mergeCell ref="BU18:BV18"/>
    <mergeCell ref="BW19:CA19"/>
    <mergeCell ref="AW14:BB14"/>
    <mergeCell ref="Z8:AB8"/>
    <mergeCell ref="AD10:AF10"/>
    <mergeCell ref="AG11:AJ11"/>
    <mergeCell ref="AK13:AV13"/>
    <mergeCell ref="B1:O1"/>
    <mergeCell ref="B2:C2"/>
    <mergeCell ref="E2:O2"/>
  </mergeCells>
  <phoneticPr fontId="1" type="noConversion"/>
  <dataValidations count="2">
    <dataValidation type="list" showErrorMessage="1" errorTitle="Task level" error="Choose a level from 1 to 5." sqref="D2" xr:uid="{00000000-0002-0000-0000-000001000000}">
      <formula1>"1,2,3,4,5"</formula1>
    </dataValidation>
    <dataValidation type="list" allowBlank="1" showInputMessage="1" sqref="O6:O1000" xr:uid="{E1AB52BE-C1D6-4559-9C55-F5209669E0AA}">
      <formula1>$C$6:$C$19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2A000"/>
  </sheetPr>
  <dimension ref="B1:J213"/>
  <sheetViews>
    <sheetView showGridLines="0" tabSelected="1" zoomScale="70" zoomScaleNormal="70" workbookViewId="0">
      <pane ySplit="13" topLeftCell="A14" activePane="bottomLeft" state="frozen"/>
      <selection pane="bottomLeft" activeCell="P16" sqref="P16"/>
    </sheetView>
  </sheetViews>
  <sheetFormatPr defaultRowHeight="25" customHeight="1"/>
  <cols>
    <col min="1" max="1" width="3.5" customWidth="1"/>
    <col min="2" max="2" width="12" customWidth="1"/>
    <col min="3" max="3" width="23" customWidth="1"/>
    <col min="4" max="4" width="29" customWidth="1"/>
    <col min="5" max="5" width="17" customWidth="1"/>
    <col min="6" max="6" width="30" customWidth="1"/>
    <col min="7" max="7" width="18" customWidth="1"/>
    <col min="8" max="8" width="10" customWidth="1"/>
    <col min="9" max="9" width="12" customWidth="1"/>
    <col min="10" max="10" width="10" customWidth="1"/>
    <col min="11" max="11" width="4" customWidth="1"/>
    <col min="12" max="30" width="12" customWidth="1"/>
  </cols>
  <sheetData>
    <row r="1" spans="2:10" ht="20.05" customHeight="1"/>
    <row r="2" spans="2:10" ht="22.5" customHeight="1">
      <c r="B2" s="6" t="s">
        <v>48</v>
      </c>
      <c r="C2" s="4"/>
      <c r="D2" s="4"/>
      <c r="E2" s="4"/>
      <c r="F2" s="4"/>
      <c r="G2" s="4"/>
      <c r="H2" s="4"/>
      <c r="I2" s="4"/>
      <c r="J2" s="4"/>
    </row>
    <row r="3" spans="2:10" ht="40.799999999999997" customHeight="1">
      <c r="B3" s="23" t="s">
        <v>49</v>
      </c>
      <c r="C3" s="22"/>
      <c r="D3" s="22"/>
      <c r="E3" s="22"/>
      <c r="F3" s="22"/>
      <c r="G3" s="22"/>
      <c r="H3" s="22"/>
      <c r="I3" s="22"/>
      <c r="J3" s="22"/>
    </row>
    <row r="4" spans="2:10" ht="27" customHeight="1">
      <c r="B4" s="22"/>
      <c r="C4" s="22"/>
      <c r="D4" s="22"/>
      <c r="E4" s="22"/>
      <c r="F4" s="22"/>
      <c r="G4" s="22"/>
      <c r="H4" s="22"/>
      <c r="I4" s="22"/>
      <c r="J4" s="22"/>
    </row>
    <row r="5" spans="2:10" ht="20.05" customHeight="1">
      <c r="B5" s="15"/>
      <c r="C5" s="15"/>
      <c r="D5" s="15"/>
      <c r="E5" s="15"/>
      <c r="F5" s="15"/>
      <c r="G5" s="15"/>
      <c r="H5" s="15"/>
      <c r="I5" s="15"/>
      <c r="J5" s="15"/>
    </row>
    <row r="6" spans="2:10" ht="20.05" customHeight="1">
      <c r="B6" s="24" t="s">
        <v>50</v>
      </c>
      <c r="C6" s="57" t="s">
        <v>51</v>
      </c>
      <c r="D6" s="15"/>
      <c r="E6" s="15"/>
      <c r="F6" s="15"/>
      <c r="G6" s="15"/>
      <c r="H6" s="15"/>
      <c r="I6" s="15"/>
      <c r="J6" s="15"/>
    </row>
    <row r="7" spans="2:10" ht="20.05" customHeight="1">
      <c r="B7" s="24" t="s">
        <v>52</v>
      </c>
      <c r="C7" s="63">
        <v>0.50000000000000011</v>
      </c>
      <c r="D7" s="15"/>
      <c r="E7" s="15"/>
      <c r="F7" s="15"/>
      <c r="G7" s="15"/>
      <c r="H7" s="15"/>
      <c r="I7" s="15"/>
      <c r="J7" s="15"/>
    </row>
    <row r="8" spans="2:10" ht="20.05" customHeight="1">
      <c r="B8" s="23" t="s">
        <v>53</v>
      </c>
      <c r="C8" s="22"/>
      <c r="D8" s="22"/>
      <c r="E8" s="22"/>
      <c r="F8" s="22"/>
      <c r="G8" s="22"/>
      <c r="H8" s="22"/>
      <c r="I8" s="22"/>
      <c r="J8" s="22"/>
    </row>
    <row r="9" spans="2:10" ht="20.05" customHeight="1">
      <c r="B9" s="23" t="s">
        <v>54</v>
      </c>
      <c r="C9" s="22"/>
      <c r="D9" s="22"/>
      <c r="E9" s="22"/>
      <c r="F9" s="22"/>
      <c r="G9" s="22"/>
      <c r="H9" s="22"/>
      <c r="I9" s="22"/>
      <c r="J9" s="22"/>
    </row>
    <row r="10" spans="2:10" ht="20.05" customHeight="1">
      <c r="B10" s="25" t="s">
        <v>78</v>
      </c>
      <c r="C10" s="22"/>
      <c r="D10" s="22"/>
      <c r="E10" s="22"/>
      <c r="F10" s="22"/>
      <c r="G10" s="22"/>
      <c r="H10" s="22"/>
      <c r="I10" s="22"/>
      <c r="J10" s="22"/>
    </row>
    <row r="11" spans="2:10" ht="20.05" customHeight="1">
      <c r="B11" s="4"/>
      <c r="C11" s="4"/>
      <c r="D11" s="4"/>
      <c r="E11" s="4"/>
      <c r="F11" s="4"/>
      <c r="G11" s="4"/>
      <c r="H11" s="4"/>
      <c r="I11" s="4"/>
      <c r="J11" s="4"/>
    </row>
    <row r="12" spans="2:10" ht="20.05" customHeight="1">
      <c r="B12" s="4"/>
      <c r="C12" s="4"/>
      <c r="D12" s="4"/>
      <c r="E12" s="4"/>
      <c r="F12" s="4"/>
      <c r="G12" s="4"/>
      <c r="H12" s="4"/>
      <c r="I12" s="4"/>
      <c r="J12" s="4"/>
    </row>
    <row r="13" spans="2:10" ht="25" customHeight="1">
      <c r="B13" s="2" t="s">
        <v>55</v>
      </c>
      <c r="C13" s="2" t="s">
        <v>56</v>
      </c>
      <c r="D13" s="2" t="s">
        <v>57</v>
      </c>
      <c r="E13" s="2" t="s">
        <v>58</v>
      </c>
      <c r="F13" s="2" t="s">
        <v>59</v>
      </c>
      <c r="G13" s="2" t="s">
        <v>60</v>
      </c>
      <c r="H13" s="2" t="s">
        <v>61</v>
      </c>
      <c r="I13" s="2" t="s">
        <v>62</v>
      </c>
      <c r="J13" s="2" t="s">
        <v>63</v>
      </c>
    </row>
    <row r="14" spans="2:10" ht="25" customHeight="1">
      <c r="B14" s="57"/>
      <c r="C14" s="57"/>
      <c r="D14" s="58"/>
      <c r="E14" s="59"/>
      <c r="F14" s="58"/>
      <c r="G14" s="58"/>
      <c r="H14" s="60"/>
      <c r="I14" s="61"/>
      <c r="J14" s="57"/>
    </row>
    <row r="15" spans="2:10" ht="25" customHeight="1">
      <c r="B15" s="57"/>
      <c r="C15" s="57"/>
      <c r="D15" s="58"/>
      <c r="E15" s="59"/>
      <c r="F15" s="58"/>
      <c r="G15" s="58"/>
      <c r="H15" s="60"/>
      <c r="I15" s="61"/>
      <c r="J15" s="57"/>
    </row>
    <row r="16" spans="2:10" ht="25" customHeight="1">
      <c r="B16" s="57" t="s">
        <v>64</v>
      </c>
      <c r="C16" s="57">
        <f>ROW(WBS!C8)</f>
        <v>8</v>
      </c>
      <c r="D16" s="58" t="str">
        <f>IF(WBS!C8="","",WBS!C8)</f>
        <v xml:space="preserve">        1.1.1 Elon Musk</v>
      </c>
      <c r="E16" s="59">
        <f>IF(WBS!H8="","",WBS!H8)</f>
        <v>46268</v>
      </c>
      <c r="F16" s="58" t="s">
        <v>77</v>
      </c>
      <c r="G16" s="58" t="str">
        <f>IFERROR(WBS!D8,"")</f>
        <v>A</v>
      </c>
      <c r="H16" s="60">
        <f>IFERROR(WBS!N8,"")</f>
        <v>1</v>
      </c>
      <c r="I16" s="61" t="str">
        <f ca="1">IF(WBS!C8="","",IFERROR(IF(WBS!N8&gt;=1,"Complete",IF(WBS!H8&lt;TODAY(),"Overdue",IF(WBS!G8&gt;TODAY(),"Not started","In progress"))),"Check"))</f>
        <v>Complete</v>
      </c>
      <c r="J16" s="57" t="str">
        <f>IFERROR(WBS!X8,"")</f>
        <v>T</v>
      </c>
    </row>
    <row r="17" spans="2:10" ht="25" customHeight="1">
      <c r="B17" s="57" t="s">
        <v>64</v>
      </c>
      <c r="C17" s="57">
        <f>ROW(WBS!C9)</f>
        <v>9</v>
      </c>
      <c r="D17" s="58" t="str">
        <f>IF(WBS!C9="","",WBS!C9)</f>
        <v xml:space="preserve">        1.1.2 Characteristics</v>
      </c>
      <c r="E17" s="59">
        <f>IF(WBS!H9="","",WBS!H9)</f>
        <v>46269</v>
      </c>
      <c r="F17" s="58" t="s">
        <v>77</v>
      </c>
      <c r="G17" s="58" t="str">
        <f>IFERROR(WBS!D9,"")</f>
        <v>A</v>
      </c>
      <c r="H17" s="60">
        <f>IFERROR(WBS!N9,"")</f>
        <v>1</v>
      </c>
      <c r="I17" s="61" t="str">
        <f ca="1">IF(WBS!C9="","",IFERROR(IF(WBS!N9&gt;=1,"Complete",IF(WBS!H9&lt;TODAY(),"Overdue",IF(WBS!G9&gt;TODAY(),"Not started","In progress"))),"Check"))</f>
        <v>Complete</v>
      </c>
      <c r="J17" s="57" t="str">
        <f>IFERROR(WBS!X9,"")</f>
        <v>T</v>
      </c>
    </row>
    <row r="18" spans="2:10" ht="25" customHeight="1">
      <c r="B18" s="57" t="s">
        <v>64</v>
      </c>
      <c r="C18" s="57">
        <f>ROW(WBS!C10)</f>
        <v>10</v>
      </c>
      <c r="D18" s="58" t="str">
        <f>IF(WBS!C10="","",WBS!C10)</f>
        <v xml:space="preserve">        1.1.3 Intuitive interface</v>
      </c>
      <c r="E18" s="59">
        <f>IF(WBS!H10="","",WBS!H10)</f>
        <v>46272</v>
      </c>
      <c r="F18" s="58" t="s">
        <v>77</v>
      </c>
      <c r="G18" s="58" t="str">
        <f>IFERROR(WBS!D10,"")</f>
        <v>A</v>
      </c>
      <c r="H18" s="60">
        <f>IFERROR(WBS!N10,"")</f>
        <v>1</v>
      </c>
      <c r="I18" s="61" t="str">
        <f ca="1">IF(WBS!C10="","",IFERROR(IF(WBS!N10&gt;=1,"Complete",IF(WBS!H10&lt;TODAY(),"Overdue",IF(WBS!G10&gt;TODAY(),"Not started","In progress"))),"Check"))</f>
        <v>Complete</v>
      </c>
      <c r="J18" s="57" t="str">
        <f>IFERROR(WBS!X10,"")</f>
        <v>T</v>
      </c>
    </row>
    <row r="19" spans="2:10" ht="25" customHeight="1">
      <c r="B19" s="57"/>
      <c r="C19" s="57"/>
      <c r="D19" s="58"/>
      <c r="E19" s="59"/>
      <c r="F19" s="58"/>
      <c r="G19" s="58"/>
      <c r="H19" s="60"/>
      <c r="I19" s="61"/>
      <c r="J19" s="57"/>
    </row>
    <row r="20" spans="2:10" ht="25" customHeight="1">
      <c r="B20" s="57"/>
      <c r="C20" s="57"/>
      <c r="D20" s="58"/>
      <c r="E20" s="59"/>
      <c r="F20" s="58"/>
      <c r="G20" s="58"/>
      <c r="H20" s="60"/>
      <c r="I20" s="61"/>
      <c r="J20" s="57"/>
    </row>
    <row r="21" spans="2:10" ht="25" customHeight="1">
      <c r="B21" s="57" t="s">
        <v>64</v>
      </c>
      <c r="C21" s="57">
        <f>ROW(WBS!C13)</f>
        <v>13</v>
      </c>
      <c r="D21" s="58" t="str">
        <f>IF(WBS!C13="","",WBS!C13)</f>
        <v xml:space="preserve">        1.3.1 Program components</v>
      </c>
      <c r="E21" s="59">
        <f>IF(WBS!H13="","",WBS!H13)</f>
        <v>46288</v>
      </c>
      <c r="F21" s="58" t="s">
        <v>77</v>
      </c>
      <c r="G21" s="58" t="str">
        <f>IFERROR(WBS!D13,"")</f>
        <v>C</v>
      </c>
      <c r="H21" s="60">
        <f>IFERROR(WBS!N13,"")</f>
        <v>0.8</v>
      </c>
      <c r="I21" s="61" t="str">
        <f ca="1">IF(WBS!C13="","",IFERROR(IF(WBS!N13&gt;=1,"Complete",IF(WBS!H13&lt;TODAY(),"Overdue",IF(WBS!G13&gt;TODAY(),"Not started","In progress"))),"Check"))</f>
        <v>In progress</v>
      </c>
      <c r="J21" s="57" t="str">
        <f>IFERROR(WBS!X13,"")</f>
        <v>T</v>
      </c>
    </row>
    <row r="22" spans="2:10" ht="25" customHeight="1">
      <c r="B22" s="57" t="s">
        <v>64</v>
      </c>
      <c r="C22" s="57">
        <f>ROW(WBS!C14)</f>
        <v>14</v>
      </c>
      <c r="D22" s="58" t="str">
        <f>IF(WBS!C14="","",WBS!C14)</f>
        <v xml:space="preserve">        1.3.2 Object-oriented Buffet</v>
      </c>
      <c r="E22" s="59">
        <f>IF(WBS!H14="","",WBS!H14)</f>
        <v>46294</v>
      </c>
      <c r="F22" s="58" t="s">
        <v>77</v>
      </c>
      <c r="G22" s="58" t="str">
        <f>IFERROR(WBS!D14,"")</f>
        <v>C</v>
      </c>
      <c r="H22" s="60">
        <f>IFERROR(WBS!N14,"")</f>
        <v>0.8</v>
      </c>
      <c r="I22" s="61" t="str">
        <f ca="1">IF(WBS!C14="","",IFERROR(IF(WBS!N14&gt;=1,"Complete",IF(WBS!H14&lt;TODAY(),"Overdue",IF(WBS!G14&gt;TODAY(),"Not started","In progress"))),"Check"))</f>
        <v>Not started</v>
      </c>
      <c r="J22" s="57" t="str">
        <f>IFERROR(WBS!X14,"")</f>
        <v>T</v>
      </c>
    </row>
    <row r="23" spans="2:10" ht="25" customHeight="1">
      <c r="B23" s="57"/>
      <c r="C23" s="57"/>
      <c r="D23" s="58"/>
      <c r="E23" s="59"/>
      <c r="F23" s="58"/>
      <c r="G23" s="58"/>
      <c r="H23" s="60"/>
      <c r="I23" s="61"/>
      <c r="J23" s="57"/>
    </row>
    <row r="24" spans="2:10" ht="25" customHeight="1">
      <c r="B24" s="57" t="s">
        <v>64</v>
      </c>
      <c r="C24" s="57">
        <f>ROW(WBS!C16)</f>
        <v>16</v>
      </c>
      <c r="D24" s="58" t="str">
        <f>IF(WBS!C16="","",WBS!C16)</f>
        <v xml:space="preserve">        1.4.1 Preparation</v>
      </c>
      <c r="E24" s="59">
        <f>IF(WBS!H16="","",WBS!H16)</f>
        <v>46296</v>
      </c>
      <c r="F24" s="58" t="s">
        <v>77</v>
      </c>
      <c r="G24" s="58" t="str">
        <f>IFERROR(WBS!D16,"")</f>
        <v>B</v>
      </c>
      <c r="H24" s="60">
        <f>IFERROR(WBS!N16,"")</f>
        <v>0.6</v>
      </c>
      <c r="I24" s="61" t="str">
        <f ca="1">IF(WBS!C16="","",IFERROR(IF(WBS!N16&gt;=1,"Complete",IF(WBS!H16&lt;TODAY(),"Overdue",IF(WBS!G16&gt;TODAY(),"Not started","In progress"))),"Check"))</f>
        <v>Not started</v>
      </c>
      <c r="J24" s="57" t="str">
        <f>IFERROR(WBS!X16,"")</f>
        <v>T</v>
      </c>
    </row>
    <row r="25" spans="2:10" ht="25" customHeight="1">
      <c r="B25" s="57" t="s">
        <v>64</v>
      </c>
      <c r="C25" s="57">
        <f>ROW(WBS!C17)</f>
        <v>17</v>
      </c>
      <c r="D25" s="58" t="str">
        <f>IF(WBS!C17="","",WBS!C17)</f>
        <v xml:space="preserve">        1.4.2 Development</v>
      </c>
      <c r="E25" s="59">
        <f>IF(WBS!H17="","",WBS!H17)</f>
        <v>46312</v>
      </c>
      <c r="F25" s="58" t="s">
        <v>77</v>
      </c>
      <c r="G25" s="58" t="str">
        <f>IFERROR(WBS!D17,"")</f>
        <v>B</v>
      </c>
      <c r="H25" s="60">
        <f>IFERROR(WBS!N17,"")</f>
        <v>0.1</v>
      </c>
      <c r="I25" s="61" t="str">
        <f ca="1">IF(WBS!C17="","",IFERROR(IF(WBS!N17&gt;=1,"Complete",IF(WBS!H17&lt;TODAY(),"Overdue",IF(WBS!G17&gt;TODAY(),"Not started","In progress"))),"Check"))</f>
        <v>Not started</v>
      </c>
      <c r="J25" s="57" t="str">
        <f>IFERROR(WBS!X17,"")</f>
        <v>T</v>
      </c>
    </row>
    <row r="26" spans="2:10" ht="25" customHeight="1">
      <c r="B26" s="57" t="s">
        <v>64</v>
      </c>
      <c r="C26" s="57">
        <f>ROW(WBS!C18)</f>
        <v>18</v>
      </c>
      <c r="D26" s="58" t="str">
        <f>IF(WBS!C18="","",WBS!C18)</f>
        <v xml:space="preserve">        1.4.3 Bill Gates</v>
      </c>
      <c r="E26" s="59">
        <f>IF(WBS!H18="","",WBS!H18)</f>
        <v>46314</v>
      </c>
      <c r="F26" s="58" t="s">
        <v>77</v>
      </c>
      <c r="G26" s="58" t="str">
        <f>IFERROR(WBS!D18,"")</f>
        <v>B</v>
      </c>
      <c r="H26" s="60">
        <f>IFERROR(WBS!N18,"")</f>
        <v>1</v>
      </c>
      <c r="I26" s="61" t="str">
        <f ca="1">IF(WBS!C18="","",IFERROR(IF(WBS!N18&gt;=1,"Complete",IF(WBS!H18&lt;TODAY(),"Overdue",IF(WBS!G18&gt;TODAY(),"Not started","In progress"))),"Check"))</f>
        <v>Complete</v>
      </c>
      <c r="J26" s="57" t="str">
        <f>IFERROR(WBS!X18,"")</f>
        <v>T</v>
      </c>
    </row>
    <row r="27" spans="2:10" ht="25" customHeight="1">
      <c r="B27" s="57" t="s">
        <v>64</v>
      </c>
      <c r="C27" s="57">
        <f>ROW(WBS!C19)</f>
        <v>19</v>
      </c>
      <c r="D27" s="58" t="str">
        <f>IF(WBS!C19="","",WBS!C19)</f>
        <v xml:space="preserve">        1.4.4 Release to users</v>
      </c>
      <c r="E27" s="59">
        <f>IF(WBS!H19="","",WBS!H19)</f>
        <v>46319</v>
      </c>
      <c r="F27" s="58" t="s">
        <v>77</v>
      </c>
      <c r="G27" s="58" t="str">
        <f>IFERROR(WBS!D19,"")</f>
        <v>B</v>
      </c>
      <c r="H27" s="60">
        <f>IFERROR(WBS!N19,"")</f>
        <v>0</v>
      </c>
      <c r="I27" s="61" t="str">
        <f ca="1">IF(WBS!C19="","",IFERROR(IF(WBS!N19&gt;=1,"Complete",IF(WBS!H19&lt;TODAY(),"Overdue",IF(WBS!G19&gt;TODAY(),"Not started","In progress"))),"Check"))</f>
        <v>Not started</v>
      </c>
      <c r="J27" s="57" t="str">
        <f>IFERROR(WBS!X19,"")</f>
        <v>T</v>
      </c>
    </row>
    <row r="28" spans="2:10" ht="25" customHeight="1">
      <c r="B28" s="57"/>
      <c r="C28" s="57"/>
      <c r="D28" s="58"/>
      <c r="E28" s="62"/>
      <c r="F28" s="58"/>
      <c r="G28" s="58"/>
      <c r="H28" s="60"/>
      <c r="I28" s="61"/>
      <c r="J28" s="57"/>
    </row>
    <row r="29" spans="2:10" ht="25" customHeight="1">
      <c r="B29" s="57"/>
      <c r="C29" s="57"/>
      <c r="D29" s="58"/>
      <c r="E29" s="62"/>
      <c r="F29" s="58"/>
      <c r="G29" s="58"/>
      <c r="H29" s="60"/>
      <c r="I29" s="61"/>
      <c r="J29" s="57"/>
    </row>
    <row r="30" spans="2:10" ht="25" customHeight="1">
      <c r="B30" s="57"/>
      <c r="C30" s="57"/>
      <c r="D30" s="58"/>
      <c r="E30" s="62"/>
      <c r="F30" s="58"/>
      <c r="G30" s="58"/>
      <c r="H30" s="60"/>
      <c r="I30" s="61"/>
      <c r="J30" s="57"/>
    </row>
    <row r="31" spans="2:10" ht="25" customHeight="1">
      <c r="B31" s="57"/>
      <c r="C31" s="57"/>
      <c r="D31" s="58"/>
      <c r="E31" s="62"/>
      <c r="F31" s="58"/>
      <c r="G31" s="58"/>
      <c r="H31" s="60"/>
      <c r="I31" s="61"/>
      <c r="J31" s="57"/>
    </row>
    <row r="32" spans="2:10" ht="25" customHeight="1">
      <c r="B32" s="57"/>
      <c r="C32" s="57"/>
      <c r="D32" s="58"/>
      <c r="E32" s="62"/>
      <c r="F32" s="58"/>
      <c r="G32" s="58"/>
      <c r="H32" s="60"/>
      <c r="I32" s="61"/>
      <c r="J32" s="57"/>
    </row>
    <row r="33" spans="2:10" ht="25" customHeight="1">
      <c r="B33" s="57"/>
      <c r="C33" s="57"/>
      <c r="D33" s="58"/>
      <c r="E33" s="62"/>
      <c r="F33" s="58"/>
      <c r="G33" s="58"/>
      <c r="H33" s="60"/>
      <c r="I33" s="61"/>
      <c r="J33" s="57"/>
    </row>
    <row r="34" spans="2:10" ht="25" customHeight="1">
      <c r="B34" s="57"/>
      <c r="C34" s="57"/>
      <c r="D34" s="58"/>
      <c r="E34" s="62"/>
      <c r="F34" s="58"/>
      <c r="G34" s="58"/>
      <c r="H34" s="60"/>
      <c r="I34" s="61"/>
      <c r="J34" s="57"/>
    </row>
    <row r="35" spans="2:10" ht="25" customHeight="1">
      <c r="B35" s="57"/>
      <c r="C35" s="57"/>
      <c r="D35" s="58"/>
      <c r="E35" s="62"/>
      <c r="F35" s="58"/>
      <c r="G35" s="58"/>
      <c r="H35" s="60"/>
      <c r="I35" s="61"/>
      <c r="J35" s="57"/>
    </row>
    <row r="36" spans="2:10" ht="25" customHeight="1">
      <c r="B36" s="57"/>
      <c r="C36" s="57"/>
      <c r="D36" s="58"/>
      <c r="E36" s="62"/>
      <c r="F36" s="58"/>
      <c r="G36" s="58"/>
      <c r="H36" s="60"/>
      <c r="I36" s="61"/>
      <c r="J36" s="57"/>
    </row>
    <row r="37" spans="2:10" ht="25" customHeight="1">
      <c r="B37" s="57"/>
      <c r="C37" s="57"/>
      <c r="D37" s="58"/>
      <c r="E37" s="62"/>
      <c r="F37" s="58"/>
      <c r="G37" s="58"/>
      <c r="H37" s="60"/>
      <c r="I37" s="61"/>
      <c r="J37" s="57"/>
    </row>
    <row r="38" spans="2:10" ht="25" customHeight="1">
      <c r="B38" s="57"/>
      <c r="C38" s="57"/>
      <c r="D38" s="58"/>
      <c r="E38" s="62"/>
      <c r="F38" s="58"/>
      <c r="G38" s="58"/>
      <c r="H38" s="60"/>
      <c r="I38" s="61"/>
      <c r="J38" s="57"/>
    </row>
    <row r="39" spans="2:10" ht="25" customHeight="1">
      <c r="B39" s="57"/>
      <c r="C39" s="57"/>
      <c r="D39" s="58"/>
      <c r="E39" s="62"/>
      <c r="F39" s="58"/>
      <c r="G39" s="58"/>
      <c r="H39" s="60"/>
      <c r="I39" s="61"/>
      <c r="J39" s="57"/>
    </row>
    <row r="40" spans="2:10" ht="25" customHeight="1">
      <c r="B40" s="57"/>
      <c r="C40" s="57"/>
      <c r="D40" s="58"/>
      <c r="E40" s="62"/>
      <c r="F40" s="58"/>
      <c r="G40" s="58"/>
      <c r="H40" s="60"/>
      <c r="I40" s="61"/>
      <c r="J40" s="57"/>
    </row>
    <row r="41" spans="2:10" ht="25" customHeight="1">
      <c r="B41" s="57"/>
      <c r="C41" s="57"/>
      <c r="D41" s="58"/>
      <c r="E41" s="62"/>
      <c r="F41" s="58"/>
      <c r="G41" s="58"/>
      <c r="H41" s="60"/>
      <c r="I41" s="61"/>
      <c r="J41" s="57"/>
    </row>
    <row r="42" spans="2:10" ht="25" customHeight="1">
      <c r="B42" s="57"/>
      <c r="C42" s="57"/>
      <c r="D42" s="58"/>
      <c r="E42" s="62"/>
      <c r="F42" s="58"/>
      <c r="G42" s="58"/>
      <c r="H42" s="60"/>
      <c r="I42" s="61"/>
      <c r="J42" s="57"/>
    </row>
    <row r="43" spans="2:10" ht="25" customHeight="1">
      <c r="B43" s="57"/>
      <c r="C43" s="57"/>
      <c r="D43" s="58"/>
      <c r="E43" s="62"/>
      <c r="F43" s="58"/>
      <c r="G43" s="58"/>
      <c r="H43" s="60"/>
      <c r="I43" s="61"/>
      <c r="J43" s="57"/>
    </row>
    <row r="44" spans="2:10" ht="25" customHeight="1">
      <c r="B44" s="57"/>
      <c r="C44" s="57"/>
      <c r="D44" s="58"/>
      <c r="E44" s="62"/>
      <c r="F44" s="58"/>
      <c r="G44" s="58"/>
      <c r="H44" s="60"/>
      <c r="I44" s="61"/>
      <c r="J44" s="57"/>
    </row>
    <row r="45" spans="2:10" ht="25" customHeight="1">
      <c r="B45" s="57"/>
      <c r="C45" s="57"/>
      <c r="D45" s="58"/>
      <c r="E45" s="62"/>
      <c r="F45" s="58"/>
      <c r="G45" s="58"/>
      <c r="H45" s="60"/>
      <c r="I45" s="61"/>
      <c r="J45" s="57"/>
    </row>
    <row r="46" spans="2:10" ht="25" customHeight="1">
      <c r="B46" s="57"/>
      <c r="C46" s="57"/>
      <c r="D46" s="58"/>
      <c r="E46" s="62"/>
      <c r="F46" s="58"/>
      <c r="G46" s="58"/>
      <c r="H46" s="60"/>
      <c r="I46" s="61"/>
      <c r="J46" s="57"/>
    </row>
    <row r="47" spans="2:10" ht="25" customHeight="1">
      <c r="B47" s="57"/>
      <c r="C47" s="57"/>
      <c r="D47" s="58"/>
      <c r="E47" s="62"/>
      <c r="F47" s="58"/>
      <c r="G47" s="58"/>
      <c r="H47" s="60"/>
      <c r="I47" s="61"/>
      <c r="J47" s="57"/>
    </row>
    <row r="48" spans="2:10" ht="25" customHeight="1">
      <c r="B48" s="57"/>
      <c r="C48" s="57"/>
      <c r="D48" s="58"/>
      <c r="E48" s="62"/>
      <c r="F48" s="58"/>
      <c r="G48" s="58"/>
      <c r="H48" s="60"/>
      <c r="I48" s="61"/>
      <c r="J48" s="57"/>
    </row>
    <row r="49" spans="2:10" ht="25" customHeight="1">
      <c r="B49" s="57"/>
      <c r="C49" s="57"/>
      <c r="D49" s="58"/>
      <c r="E49" s="62"/>
      <c r="F49" s="58"/>
      <c r="G49" s="58"/>
      <c r="H49" s="60"/>
      <c r="I49" s="61"/>
      <c r="J49" s="57"/>
    </row>
    <row r="50" spans="2:10" ht="25" customHeight="1">
      <c r="B50" s="57"/>
      <c r="C50" s="57"/>
      <c r="D50" s="58"/>
      <c r="E50" s="62"/>
      <c r="F50" s="58"/>
      <c r="G50" s="58"/>
      <c r="H50" s="60"/>
      <c r="I50" s="61"/>
      <c r="J50" s="57"/>
    </row>
    <row r="51" spans="2:10" ht="25" customHeight="1">
      <c r="B51" s="57"/>
      <c r="C51" s="57"/>
      <c r="D51" s="58"/>
      <c r="E51" s="62"/>
      <c r="F51" s="58"/>
      <c r="G51" s="58"/>
      <c r="H51" s="60"/>
      <c r="I51" s="61"/>
      <c r="J51" s="57"/>
    </row>
    <row r="52" spans="2:10" ht="25" customHeight="1">
      <c r="B52" s="57"/>
      <c r="C52" s="57"/>
      <c r="D52" s="58"/>
      <c r="E52" s="62"/>
      <c r="F52" s="58"/>
      <c r="G52" s="58"/>
      <c r="H52" s="60"/>
      <c r="I52" s="61"/>
      <c r="J52" s="57"/>
    </row>
    <row r="53" spans="2:10" ht="25" customHeight="1">
      <c r="B53" s="57"/>
      <c r="C53" s="57"/>
      <c r="D53" s="58"/>
      <c r="E53" s="62"/>
      <c r="F53" s="58"/>
      <c r="G53" s="58"/>
      <c r="H53" s="60"/>
      <c r="I53" s="61"/>
      <c r="J53" s="57"/>
    </row>
    <row r="54" spans="2:10" ht="25" customHeight="1">
      <c r="B54" s="57"/>
      <c r="C54" s="57"/>
      <c r="D54" s="58"/>
      <c r="E54" s="62"/>
      <c r="F54" s="58"/>
      <c r="G54" s="58"/>
      <c r="H54" s="60"/>
      <c r="I54" s="61"/>
      <c r="J54" s="57"/>
    </row>
    <row r="55" spans="2:10" ht="25" customHeight="1">
      <c r="B55" s="57"/>
      <c r="C55" s="57"/>
      <c r="D55" s="58"/>
      <c r="E55" s="62"/>
      <c r="F55" s="58"/>
      <c r="G55" s="58"/>
      <c r="H55" s="60"/>
      <c r="I55" s="61"/>
      <c r="J55" s="57"/>
    </row>
    <row r="56" spans="2:10" ht="25" customHeight="1">
      <c r="B56" s="57"/>
      <c r="C56" s="57"/>
      <c r="D56" s="58"/>
      <c r="E56" s="62"/>
      <c r="F56" s="58"/>
      <c r="G56" s="58"/>
      <c r="H56" s="60"/>
      <c r="I56" s="61"/>
      <c r="J56" s="57"/>
    </row>
    <row r="57" spans="2:10" ht="25" customHeight="1">
      <c r="B57" s="57"/>
      <c r="C57" s="57"/>
      <c r="D57" s="58"/>
      <c r="E57" s="62"/>
      <c r="F57" s="58"/>
      <c r="G57" s="58"/>
      <c r="H57" s="60"/>
      <c r="I57" s="61"/>
      <c r="J57" s="57"/>
    </row>
    <row r="58" spans="2:10" ht="25" customHeight="1">
      <c r="B58" s="57"/>
      <c r="C58" s="57"/>
      <c r="D58" s="58"/>
      <c r="E58" s="62"/>
      <c r="F58" s="58"/>
      <c r="G58" s="58"/>
      <c r="H58" s="60"/>
      <c r="I58" s="61"/>
      <c r="J58" s="57"/>
    </row>
    <row r="59" spans="2:10" ht="25" customHeight="1">
      <c r="B59" s="57"/>
      <c r="C59" s="57"/>
      <c r="D59" s="58"/>
      <c r="E59" s="62"/>
      <c r="F59" s="58"/>
      <c r="G59" s="58"/>
      <c r="H59" s="60"/>
      <c r="I59" s="61"/>
      <c r="J59" s="57"/>
    </row>
    <row r="60" spans="2:10" ht="25" customHeight="1">
      <c r="B60" s="57"/>
      <c r="C60" s="57"/>
      <c r="D60" s="58"/>
      <c r="E60" s="62"/>
      <c r="F60" s="58"/>
      <c r="G60" s="58"/>
      <c r="H60" s="60"/>
      <c r="I60" s="61"/>
      <c r="J60" s="57"/>
    </row>
    <row r="61" spans="2:10" ht="25" customHeight="1">
      <c r="B61" s="57"/>
      <c r="C61" s="57"/>
      <c r="D61" s="58"/>
      <c r="E61" s="62"/>
      <c r="F61" s="58"/>
      <c r="G61" s="58"/>
      <c r="H61" s="60"/>
      <c r="I61" s="61"/>
      <c r="J61" s="57"/>
    </row>
    <row r="62" spans="2:10" ht="25" customHeight="1">
      <c r="B62" s="57"/>
      <c r="C62" s="57"/>
      <c r="D62" s="58"/>
      <c r="E62" s="62"/>
      <c r="F62" s="58"/>
      <c r="G62" s="58"/>
      <c r="H62" s="60"/>
      <c r="I62" s="61"/>
      <c r="J62" s="57"/>
    </row>
    <row r="63" spans="2:10" ht="25" customHeight="1">
      <c r="B63" s="57"/>
      <c r="C63" s="57"/>
      <c r="D63" s="58"/>
      <c r="E63" s="62"/>
      <c r="F63" s="58"/>
      <c r="G63" s="58"/>
      <c r="H63" s="60"/>
      <c r="I63" s="61"/>
      <c r="J63" s="57"/>
    </row>
    <row r="64" spans="2:10" ht="25" customHeight="1">
      <c r="B64" s="57"/>
      <c r="C64" s="57"/>
      <c r="D64" s="58"/>
      <c r="E64" s="62"/>
      <c r="F64" s="58"/>
      <c r="G64" s="58"/>
      <c r="H64" s="60"/>
      <c r="I64" s="61"/>
      <c r="J64" s="57"/>
    </row>
    <row r="65" spans="2:10" ht="25" customHeight="1">
      <c r="B65" s="57"/>
      <c r="C65" s="57"/>
      <c r="D65" s="58"/>
      <c r="E65" s="62"/>
      <c r="F65" s="58"/>
      <c r="G65" s="58"/>
      <c r="H65" s="60"/>
      <c r="I65" s="61"/>
      <c r="J65" s="57"/>
    </row>
    <row r="66" spans="2:10" ht="25" customHeight="1">
      <c r="B66" s="57"/>
      <c r="C66" s="57"/>
      <c r="D66" s="58"/>
      <c r="E66" s="62"/>
      <c r="F66" s="58"/>
      <c r="G66" s="58"/>
      <c r="H66" s="60"/>
      <c r="I66" s="61"/>
      <c r="J66" s="57"/>
    </row>
    <row r="67" spans="2:10" ht="25" customHeight="1">
      <c r="B67" s="57"/>
      <c r="C67" s="57"/>
      <c r="D67" s="58"/>
      <c r="E67" s="62"/>
      <c r="F67" s="58"/>
      <c r="G67" s="58"/>
      <c r="H67" s="60"/>
      <c r="I67" s="61"/>
      <c r="J67" s="57"/>
    </row>
    <row r="68" spans="2:10" ht="25" customHeight="1">
      <c r="B68" s="57"/>
      <c r="C68" s="57"/>
      <c r="D68" s="58"/>
      <c r="E68" s="62"/>
      <c r="F68" s="58"/>
      <c r="G68" s="58"/>
      <c r="H68" s="60"/>
      <c r="I68" s="61"/>
      <c r="J68" s="57"/>
    </row>
    <row r="69" spans="2:10" ht="25" customHeight="1">
      <c r="B69" s="57"/>
      <c r="C69" s="57"/>
      <c r="D69" s="58"/>
      <c r="E69" s="62"/>
      <c r="F69" s="58"/>
      <c r="G69" s="58"/>
      <c r="H69" s="60"/>
      <c r="I69" s="61"/>
      <c r="J69" s="57"/>
    </row>
    <row r="70" spans="2:10" ht="25" customHeight="1">
      <c r="B70" s="57"/>
      <c r="C70" s="57"/>
      <c r="D70" s="58"/>
      <c r="E70" s="62"/>
      <c r="F70" s="58"/>
      <c r="G70" s="58"/>
      <c r="H70" s="60"/>
      <c r="I70" s="61"/>
      <c r="J70" s="57"/>
    </row>
    <row r="71" spans="2:10" ht="25" customHeight="1">
      <c r="B71" s="57"/>
      <c r="C71" s="57"/>
      <c r="D71" s="58"/>
      <c r="E71" s="62"/>
      <c r="F71" s="58"/>
      <c r="G71" s="58"/>
      <c r="H71" s="60"/>
      <c r="I71" s="61"/>
      <c r="J71" s="57"/>
    </row>
    <row r="72" spans="2:10" ht="25" customHeight="1">
      <c r="B72" s="57"/>
      <c r="C72" s="57"/>
      <c r="D72" s="58"/>
      <c r="E72" s="62"/>
      <c r="F72" s="58"/>
      <c r="G72" s="58"/>
      <c r="H72" s="60"/>
      <c r="I72" s="61"/>
      <c r="J72" s="57"/>
    </row>
    <row r="73" spans="2:10" ht="25" customHeight="1">
      <c r="B73" s="57"/>
      <c r="C73" s="57"/>
      <c r="D73" s="58"/>
      <c r="E73" s="62"/>
      <c r="F73" s="58"/>
      <c r="G73" s="58"/>
      <c r="H73" s="60"/>
      <c r="I73" s="61"/>
      <c r="J73" s="57"/>
    </row>
    <row r="74" spans="2:10" ht="25" customHeight="1">
      <c r="B74" s="57"/>
      <c r="C74" s="57"/>
      <c r="D74" s="58"/>
      <c r="E74" s="62"/>
      <c r="F74" s="58"/>
      <c r="G74" s="58"/>
      <c r="H74" s="60"/>
      <c r="I74" s="61"/>
      <c r="J74" s="57"/>
    </row>
    <row r="75" spans="2:10" ht="25" customHeight="1">
      <c r="B75" s="57"/>
      <c r="C75" s="57"/>
      <c r="D75" s="58"/>
      <c r="E75" s="62"/>
      <c r="F75" s="58"/>
      <c r="G75" s="58"/>
      <c r="H75" s="60"/>
      <c r="I75" s="61"/>
      <c r="J75" s="57"/>
    </row>
    <row r="76" spans="2:10" ht="25" customHeight="1">
      <c r="B76" s="57"/>
      <c r="C76" s="57"/>
      <c r="D76" s="58"/>
      <c r="E76" s="62"/>
      <c r="F76" s="58"/>
      <c r="G76" s="58"/>
      <c r="H76" s="60"/>
      <c r="I76" s="61"/>
      <c r="J76" s="57"/>
    </row>
    <row r="77" spans="2:10" ht="25" customHeight="1">
      <c r="B77" s="57"/>
      <c r="C77" s="57"/>
      <c r="D77" s="58"/>
      <c r="E77" s="62"/>
      <c r="F77" s="58"/>
      <c r="G77" s="58"/>
      <c r="H77" s="60"/>
      <c r="I77" s="61"/>
      <c r="J77" s="57"/>
    </row>
    <row r="78" spans="2:10" ht="25" customHeight="1">
      <c r="B78" s="57"/>
      <c r="C78" s="57"/>
      <c r="D78" s="58"/>
      <c r="E78" s="62"/>
      <c r="F78" s="58"/>
      <c r="G78" s="58"/>
      <c r="H78" s="60"/>
      <c r="I78" s="61"/>
      <c r="J78" s="57"/>
    </row>
    <row r="79" spans="2:10" ht="25" customHeight="1">
      <c r="B79" s="57"/>
      <c r="C79" s="57"/>
      <c r="D79" s="58"/>
      <c r="E79" s="62"/>
      <c r="F79" s="58"/>
      <c r="G79" s="58"/>
      <c r="H79" s="60"/>
      <c r="I79" s="61"/>
      <c r="J79" s="57"/>
    </row>
    <row r="80" spans="2:10" ht="25" customHeight="1">
      <c r="B80" s="57"/>
      <c r="C80" s="57"/>
      <c r="D80" s="58"/>
      <c r="E80" s="62"/>
      <c r="F80" s="58"/>
      <c r="G80" s="58"/>
      <c r="H80" s="60"/>
      <c r="I80" s="61"/>
      <c r="J80" s="57"/>
    </row>
    <row r="81" spans="2:10" ht="25" customHeight="1">
      <c r="B81" s="57"/>
      <c r="C81" s="57"/>
      <c r="D81" s="58"/>
      <c r="E81" s="62"/>
      <c r="F81" s="58"/>
      <c r="G81" s="58"/>
      <c r="H81" s="60"/>
      <c r="I81" s="61"/>
      <c r="J81" s="57"/>
    </row>
    <row r="82" spans="2:10" ht="25" customHeight="1">
      <c r="B82" s="57"/>
      <c r="C82" s="57"/>
      <c r="D82" s="58"/>
      <c r="E82" s="62"/>
      <c r="F82" s="58"/>
      <c r="G82" s="58"/>
      <c r="H82" s="60"/>
      <c r="I82" s="61"/>
      <c r="J82" s="57"/>
    </row>
    <row r="83" spans="2:10" ht="25" customHeight="1">
      <c r="B83" s="57"/>
      <c r="C83" s="57"/>
      <c r="D83" s="58"/>
      <c r="E83" s="62"/>
      <c r="F83" s="58"/>
      <c r="G83" s="58"/>
      <c r="H83" s="60"/>
      <c r="I83" s="61"/>
      <c r="J83" s="57"/>
    </row>
    <row r="84" spans="2:10" ht="25" customHeight="1">
      <c r="B84" s="57"/>
      <c r="C84" s="57"/>
      <c r="D84" s="58"/>
      <c r="E84" s="62"/>
      <c r="F84" s="58"/>
      <c r="G84" s="58"/>
      <c r="H84" s="60"/>
      <c r="I84" s="61"/>
      <c r="J84" s="57"/>
    </row>
    <row r="85" spans="2:10" ht="25" customHeight="1">
      <c r="B85" s="57"/>
      <c r="C85" s="57"/>
      <c r="D85" s="58"/>
      <c r="E85" s="62"/>
      <c r="F85" s="58"/>
      <c r="G85" s="58"/>
      <c r="H85" s="60"/>
      <c r="I85" s="61"/>
      <c r="J85" s="57"/>
    </row>
    <row r="86" spans="2:10" ht="25" customHeight="1">
      <c r="B86" s="57"/>
      <c r="C86" s="57"/>
      <c r="D86" s="58"/>
      <c r="E86" s="62"/>
      <c r="F86" s="58"/>
      <c r="G86" s="58"/>
      <c r="H86" s="60"/>
      <c r="I86" s="61"/>
      <c r="J86" s="57"/>
    </row>
    <row r="87" spans="2:10" ht="25" customHeight="1">
      <c r="B87" s="57"/>
      <c r="C87" s="57"/>
      <c r="D87" s="58"/>
      <c r="E87" s="62"/>
      <c r="F87" s="58"/>
      <c r="G87" s="58"/>
      <c r="H87" s="60"/>
      <c r="I87" s="61"/>
      <c r="J87" s="57"/>
    </row>
    <row r="88" spans="2:10" ht="25" customHeight="1">
      <c r="B88" s="57"/>
      <c r="C88" s="57"/>
      <c r="D88" s="58"/>
      <c r="E88" s="62"/>
      <c r="F88" s="58"/>
      <c r="G88" s="58"/>
      <c r="H88" s="60"/>
      <c r="I88" s="61"/>
      <c r="J88" s="57"/>
    </row>
    <row r="89" spans="2:10" ht="25" customHeight="1">
      <c r="B89" s="57"/>
      <c r="C89" s="57"/>
      <c r="D89" s="58"/>
      <c r="E89" s="62"/>
      <c r="F89" s="58"/>
      <c r="G89" s="58"/>
      <c r="H89" s="60"/>
      <c r="I89" s="61"/>
      <c r="J89" s="57"/>
    </row>
    <row r="90" spans="2:10" ht="25" customHeight="1">
      <c r="B90" s="57"/>
      <c r="C90" s="57"/>
      <c r="D90" s="58"/>
      <c r="E90" s="62"/>
      <c r="F90" s="58"/>
      <c r="G90" s="58"/>
      <c r="H90" s="60"/>
      <c r="I90" s="61"/>
      <c r="J90" s="57"/>
    </row>
    <row r="91" spans="2:10" ht="25" customHeight="1">
      <c r="B91" s="57"/>
      <c r="C91" s="57"/>
      <c r="D91" s="58"/>
      <c r="E91" s="62"/>
      <c r="F91" s="58"/>
      <c r="G91" s="58"/>
      <c r="H91" s="60"/>
      <c r="I91" s="61"/>
      <c r="J91" s="57"/>
    </row>
    <row r="92" spans="2:10" ht="25" customHeight="1">
      <c r="B92" s="57"/>
      <c r="C92" s="57"/>
      <c r="D92" s="58"/>
      <c r="E92" s="62"/>
      <c r="F92" s="58"/>
      <c r="G92" s="58"/>
      <c r="H92" s="60"/>
      <c r="I92" s="61"/>
      <c r="J92" s="57"/>
    </row>
    <row r="93" spans="2:10" ht="25" customHeight="1">
      <c r="B93" s="57"/>
      <c r="C93" s="57"/>
      <c r="D93" s="58"/>
      <c r="E93" s="62"/>
      <c r="F93" s="58"/>
      <c r="G93" s="58"/>
      <c r="H93" s="60"/>
      <c r="I93" s="61"/>
      <c r="J93" s="57"/>
    </row>
    <row r="94" spans="2:10" ht="25" customHeight="1">
      <c r="B94" s="57"/>
      <c r="C94" s="57"/>
      <c r="D94" s="58"/>
      <c r="E94" s="62"/>
      <c r="F94" s="58"/>
      <c r="G94" s="58"/>
      <c r="H94" s="60"/>
      <c r="I94" s="61"/>
      <c r="J94" s="57"/>
    </row>
    <row r="95" spans="2:10" ht="25" customHeight="1">
      <c r="B95" s="57"/>
      <c r="C95" s="57"/>
      <c r="D95" s="58"/>
      <c r="E95" s="62"/>
      <c r="F95" s="58"/>
      <c r="G95" s="58"/>
      <c r="H95" s="60"/>
      <c r="I95" s="61"/>
      <c r="J95" s="57"/>
    </row>
    <row r="96" spans="2:10" ht="25" customHeight="1">
      <c r="B96" s="57"/>
      <c r="C96" s="57"/>
      <c r="D96" s="58"/>
      <c r="E96" s="62"/>
      <c r="F96" s="58"/>
      <c r="G96" s="58"/>
      <c r="H96" s="60"/>
      <c r="I96" s="61"/>
      <c r="J96" s="57"/>
    </row>
    <row r="97" spans="2:10" ht="25" customHeight="1">
      <c r="B97" s="57"/>
      <c r="C97" s="57"/>
      <c r="D97" s="58"/>
      <c r="E97" s="62"/>
      <c r="F97" s="58"/>
      <c r="G97" s="58"/>
      <c r="H97" s="60"/>
      <c r="I97" s="61"/>
      <c r="J97" s="57"/>
    </row>
    <row r="98" spans="2:10" ht="25" customHeight="1">
      <c r="B98" s="57"/>
      <c r="C98" s="57"/>
      <c r="D98" s="58"/>
      <c r="E98" s="62"/>
      <c r="F98" s="58"/>
      <c r="G98" s="58"/>
      <c r="H98" s="60"/>
      <c r="I98" s="61"/>
      <c r="J98" s="57"/>
    </row>
    <row r="99" spans="2:10" ht="25" customHeight="1">
      <c r="B99" s="57"/>
      <c r="C99" s="57"/>
      <c r="D99" s="58"/>
      <c r="E99" s="62"/>
      <c r="F99" s="58"/>
      <c r="G99" s="58"/>
      <c r="H99" s="60"/>
      <c r="I99" s="61"/>
      <c r="J99" s="57"/>
    </row>
    <row r="100" spans="2:10" ht="25" customHeight="1">
      <c r="B100" s="57"/>
      <c r="C100" s="57"/>
      <c r="D100" s="58"/>
      <c r="E100" s="62"/>
      <c r="F100" s="58"/>
      <c r="G100" s="58"/>
      <c r="H100" s="60"/>
      <c r="I100" s="61"/>
      <c r="J100" s="57"/>
    </row>
    <row r="101" spans="2:10" ht="25" customHeight="1">
      <c r="B101" s="57"/>
      <c r="C101" s="57"/>
      <c r="D101" s="58"/>
      <c r="E101" s="62"/>
      <c r="F101" s="58"/>
      <c r="G101" s="58"/>
      <c r="H101" s="60"/>
      <c r="I101" s="61"/>
      <c r="J101" s="57"/>
    </row>
    <row r="102" spans="2:10" ht="25" customHeight="1">
      <c r="B102" s="57"/>
      <c r="C102" s="57"/>
      <c r="D102" s="58"/>
      <c r="E102" s="62"/>
      <c r="F102" s="58"/>
      <c r="G102" s="58"/>
      <c r="H102" s="60"/>
      <c r="I102" s="61"/>
      <c r="J102" s="57"/>
    </row>
    <row r="103" spans="2:10" ht="25" customHeight="1">
      <c r="B103" s="57"/>
      <c r="C103" s="57"/>
      <c r="D103" s="58"/>
      <c r="E103" s="62"/>
      <c r="F103" s="58"/>
      <c r="G103" s="58"/>
      <c r="H103" s="60"/>
      <c r="I103" s="61"/>
      <c r="J103" s="57"/>
    </row>
    <row r="104" spans="2:10" ht="25" customHeight="1">
      <c r="B104" s="57"/>
      <c r="C104" s="57"/>
      <c r="D104" s="58"/>
      <c r="E104" s="62"/>
      <c r="F104" s="58"/>
      <c r="G104" s="58"/>
      <c r="H104" s="60"/>
      <c r="I104" s="61"/>
      <c r="J104" s="57"/>
    </row>
    <row r="105" spans="2:10" ht="25" customHeight="1">
      <c r="B105" s="57"/>
      <c r="C105" s="57"/>
      <c r="D105" s="58"/>
      <c r="E105" s="62"/>
      <c r="F105" s="58"/>
      <c r="G105" s="58"/>
      <c r="H105" s="60"/>
      <c r="I105" s="61"/>
      <c r="J105" s="57"/>
    </row>
    <row r="106" spans="2:10" ht="25" customHeight="1">
      <c r="B106" s="57"/>
      <c r="C106" s="57"/>
      <c r="D106" s="58"/>
      <c r="E106" s="62"/>
      <c r="F106" s="58"/>
      <c r="G106" s="58"/>
      <c r="H106" s="60"/>
      <c r="I106" s="61"/>
      <c r="J106" s="57"/>
    </row>
    <row r="107" spans="2:10" ht="25" customHeight="1">
      <c r="B107" s="57"/>
      <c r="C107" s="57"/>
      <c r="D107" s="58"/>
      <c r="E107" s="62"/>
      <c r="F107" s="58"/>
      <c r="G107" s="58"/>
      <c r="H107" s="60"/>
      <c r="I107" s="61"/>
      <c r="J107" s="57"/>
    </row>
    <row r="108" spans="2:10" ht="25" customHeight="1">
      <c r="B108" s="57"/>
      <c r="C108" s="57"/>
      <c r="D108" s="58"/>
      <c r="E108" s="62"/>
      <c r="F108" s="58"/>
      <c r="G108" s="58"/>
      <c r="H108" s="60"/>
      <c r="I108" s="61"/>
      <c r="J108" s="57"/>
    </row>
    <row r="109" spans="2:10" ht="25" customHeight="1">
      <c r="B109" s="57"/>
      <c r="C109" s="57"/>
      <c r="D109" s="58"/>
      <c r="E109" s="62"/>
      <c r="F109" s="58"/>
      <c r="G109" s="58"/>
      <c r="H109" s="60"/>
      <c r="I109" s="61"/>
      <c r="J109" s="57"/>
    </row>
    <row r="110" spans="2:10" ht="25" customHeight="1">
      <c r="B110" s="57"/>
      <c r="C110" s="57"/>
      <c r="D110" s="58"/>
      <c r="E110" s="62"/>
      <c r="F110" s="58"/>
      <c r="G110" s="58"/>
      <c r="H110" s="60"/>
      <c r="I110" s="61"/>
      <c r="J110" s="57"/>
    </row>
    <row r="111" spans="2:10" ht="25" customHeight="1">
      <c r="B111" s="57"/>
      <c r="C111" s="57"/>
      <c r="D111" s="58"/>
      <c r="E111" s="62"/>
      <c r="F111" s="58"/>
      <c r="G111" s="58"/>
      <c r="H111" s="60"/>
      <c r="I111" s="61"/>
      <c r="J111" s="57"/>
    </row>
    <row r="112" spans="2:10" ht="25" customHeight="1">
      <c r="B112" s="57"/>
      <c r="C112" s="57"/>
      <c r="D112" s="58"/>
      <c r="E112" s="62"/>
      <c r="F112" s="58"/>
      <c r="G112" s="58"/>
      <c r="H112" s="60"/>
      <c r="I112" s="61"/>
      <c r="J112" s="57"/>
    </row>
    <row r="113" spans="2:10" ht="25" customHeight="1">
      <c r="B113" s="57"/>
      <c r="C113" s="57"/>
      <c r="D113" s="58"/>
      <c r="E113" s="62"/>
      <c r="F113" s="58"/>
      <c r="G113" s="58"/>
      <c r="H113" s="60"/>
      <c r="I113" s="61"/>
      <c r="J113" s="57"/>
    </row>
    <row r="114" spans="2:10" ht="25" customHeight="1">
      <c r="B114" s="57"/>
      <c r="C114" s="57"/>
      <c r="D114" s="58"/>
      <c r="E114" s="62"/>
      <c r="F114" s="58"/>
      <c r="G114" s="58"/>
      <c r="H114" s="60"/>
      <c r="I114" s="61"/>
      <c r="J114" s="57"/>
    </row>
    <row r="115" spans="2:10" ht="25" customHeight="1">
      <c r="B115" s="57"/>
      <c r="C115" s="57"/>
      <c r="D115" s="58"/>
      <c r="E115" s="62"/>
      <c r="F115" s="58"/>
      <c r="G115" s="58"/>
      <c r="H115" s="60"/>
      <c r="I115" s="61"/>
      <c r="J115" s="57"/>
    </row>
    <row r="116" spans="2:10" ht="25" customHeight="1">
      <c r="B116" s="57"/>
      <c r="C116" s="57"/>
      <c r="D116" s="58"/>
      <c r="E116" s="62"/>
      <c r="F116" s="58"/>
      <c r="G116" s="58"/>
      <c r="H116" s="60"/>
      <c r="I116" s="61"/>
      <c r="J116" s="57"/>
    </row>
    <row r="117" spans="2:10" ht="25" customHeight="1">
      <c r="B117" s="57"/>
      <c r="C117" s="57"/>
      <c r="D117" s="58"/>
      <c r="E117" s="62"/>
      <c r="F117" s="58"/>
      <c r="G117" s="58"/>
      <c r="H117" s="60"/>
      <c r="I117" s="61"/>
      <c r="J117" s="57"/>
    </row>
    <row r="118" spans="2:10" ht="25" customHeight="1">
      <c r="B118" s="57"/>
      <c r="C118" s="57"/>
      <c r="D118" s="58"/>
      <c r="E118" s="62"/>
      <c r="F118" s="58"/>
      <c r="G118" s="58"/>
      <c r="H118" s="60"/>
      <c r="I118" s="61"/>
      <c r="J118" s="57"/>
    </row>
    <row r="119" spans="2:10" ht="25" customHeight="1">
      <c r="B119" s="57"/>
      <c r="C119" s="57"/>
      <c r="D119" s="58"/>
      <c r="E119" s="62"/>
      <c r="F119" s="58"/>
      <c r="G119" s="58"/>
      <c r="H119" s="60"/>
      <c r="I119" s="61"/>
      <c r="J119" s="57"/>
    </row>
    <row r="120" spans="2:10" ht="25" customHeight="1">
      <c r="B120" s="57"/>
      <c r="C120" s="57"/>
      <c r="D120" s="58"/>
      <c r="E120" s="62"/>
      <c r="F120" s="58"/>
      <c r="G120" s="58"/>
      <c r="H120" s="60"/>
      <c r="I120" s="61"/>
      <c r="J120" s="57"/>
    </row>
    <row r="121" spans="2:10" ht="25" customHeight="1">
      <c r="B121" s="57"/>
      <c r="C121" s="57"/>
      <c r="D121" s="58"/>
      <c r="E121" s="62"/>
      <c r="F121" s="58"/>
      <c r="G121" s="58"/>
      <c r="H121" s="60"/>
      <c r="I121" s="61"/>
      <c r="J121" s="57"/>
    </row>
    <row r="122" spans="2:10" ht="25" customHeight="1">
      <c r="B122" s="57"/>
      <c r="C122" s="57"/>
      <c r="D122" s="58"/>
      <c r="E122" s="62"/>
      <c r="F122" s="58"/>
      <c r="G122" s="58"/>
      <c r="H122" s="60"/>
      <c r="I122" s="61"/>
      <c r="J122" s="57"/>
    </row>
    <row r="123" spans="2:10" ht="25" customHeight="1">
      <c r="B123" s="57"/>
      <c r="C123" s="57"/>
      <c r="D123" s="58"/>
      <c r="E123" s="62"/>
      <c r="F123" s="58"/>
      <c r="G123" s="58"/>
      <c r="H123" s="60"/>
      <c r="I123" s="61"/>
      <c r="J123" s="57"/>
    </row>
    <row r="124" spans="2:10" ht="25" customHeight="1">
      <c r="B124" s="57"/>
      <c r="C124" s="57"/>
      <c r="D124" s="58"/>
      <c r="E124" s="62"/>
      <c r="F124" s="58"/>
      <c r="G124" s="58"/>
      <c r="H124" s="60"/>
      <c r="I124" s="61"/>
      <c r="J124" s="57"/>
    </row>
    <row r="125" spans="2:10" ht="25" customHeight="1">
      <c r="B125" s="57"/>
      <c r="C125" s="57"/>
      <c r="D125" s="58"/>
      <c r="E125" s="62"/>
      <c r="F125" s="58"/>
      <c r="G125" s="58"/>
      <c r="H125" s="60"/>
      <c r="I125" s="61"/>
      <c r="J125" s="57"/>
    </row>
    <row r="126" spans="2:10" ht="25" customHeight="1">
      <c r="B126" s="57"/>
      <c r="C126" s="57"/>
      <c r="D126" s="58"/>
      <c r="E126" s="62"/>
      <c r="F126" s="58"/>
      <c r="G126" s="58"/>
      <c r="H126" s="60"/>
      <c r="I126" s="61"/>
      <c r="J126" s="57"/>
    </row>
    <row r="127" spans="2:10" ht="25" customHeight="1">
      <c r="B127" s="57"/>
      <c r="C127" s="57"/>
      <c r="D127" s="58"/>
      <c r="E127" s="62"/>
      <c r="F127" s="58"/>
      <c r="G127" s="58"/>
      <c r="H127" s="60"/>
      <c r="I127" s="61"/>
      <c r="J127" s="57"/>
    </row>
    <row r="128" spans="2:10" ht="25" customHeight="1">
      <c r="B128" s="57"/>
      <c r="C128" s="57"/>
      <c r="D128" s="58"/>
      <c r="E128" s="62"/>
      <c r="F128" s="58"/>
      <c r="G128" s="58"/>
      <c r="H128" s="60"/>
      <c r="I128" s="61"/>
      <c r="J128" s="57"/>
    </row>
    <row r="129" spans="2:10" ht="25" customHeight="1">
      <c r="B129" s="57"/>
      <c r="C129" s="57"/>
      <c r="D129" s="58"/>
      <c r="E129" s="62"/>
      <c r="F129" s="58"/>
      <c r="G129" s="58"/>
      <c r="H129" s="60"/>
      <c r="I129" s="61"/>
      <c r="J129" s="57"/>
    </row>
    <row r="130" spans="2:10" ht="25" customHeight="1">
      <c r="B130" s="57"/>
      <c r="C130" s="57"/>
      <c r="D130" s="58"/>
      <c r="E130" s="62"/>
      <c r="F130" s="58"/>
      <c r="G130" s="58"/>
      <c r="H130" s="60"/>
      <c r="I130" s="61"/>
      <c r="J130" s="57"/>
    </row>
    <row r="131" spans="2:10" ht="25" customHeight="1">
      <c r="B131" s="57"/>
      <c r="C131" s="57"/>
      <c r="D131" s="58"/>
      <c r="E131" s="62"/>
      <c r="F131" s="58"/>
      <c r="G131" s="58"/>
      <c r="H131" s="60"/>
      <c r="I131" s="61"/>
      <c r="J131" s="57"/>
    </row>
    <row r="132" spans="2:10" ht="25" customHeight="1">
      <c r="B132" s="57"/>
      <c r="C132" s="57"/>
      <c r="D132" s="58"/>
      <c r="E132" s="62"/>
      <c r="F132" s="58"/>
      <c r="G132" s="58"/>
      <c r="H132" s="60"/>
      <c r="I132" s="61"/>
      <c r="J132" s="57"/>
    </row>
    <row r="133" spans="2:10" ht="25" customHeight="1">
      <c r="B133" s="57"/>
      <c r="C133" s="57"/>
      <c r="D133" s="58"/>
      <c r="E133" s="62"/>
      <c r="F133" s="58"/>
      <c r="G133" s="58"/>
      <c r="H133" s="60"/>
      <c r="I133" s="61"/>
      <c r="J133" s="57"/>
    </row>
    <row r="134" spans="2:10" ht="25" customHeight="1">
      <c r="B134" s="57"/>
      <c r="C134" s="57"/>
      <c r="D134" s="58"/>
      <c r="E134" s="62"/>
      <c r="F134" s="58"/>
      <c r="G134" s="58"/>
      <c r="H134" s="60"/>
      <c r="I134" s="61"/>
      <c r="J134" s="57"/>
    </row>
    <row r="135" spans="2:10" ht="25" customHeight="1">
      <c r="B135" s="57"/>
      <c r="C135" s="57"/>
      <c r="D135" s="58"/>
      <c r="E135" s="62"/>
      <c r="F135" s="58"/>
      <c r="G135" s="58"/>
      <c r="H135" s="60"/>
      <c r="I135" s="61"/>
      <c r="J135" s="57"/>
    </row>
    <row r="136" spans="2:10" ht="25" customHeight="1">
      <c r="B136" s="57"/>
      <c r="C136" s="57"/>
      <c r="D136" s="58"/>
      <c r="E136" s="62"/>
      <c r="F136" s="58"/>
      <c r="G136" s="58"/>
      <c r="H136" s="60"/>
      <c r="I136" s="61"/>
      <c r="J136" s="57"/>
    </row>
    <row r="137" spans="2:10" ht="25" customHeight="1">
      <c r="B137" s="57"/>
      <c r="C137" s="57"/>
      <c r="D137" s="58"/>
      <c r="E137" s="62"/>
      <c r="F137" s="58"/>
      <c r="G137" s="58"/>
      <c r="H137" s="60"/>
      <c r="I137" s="61"/>
      <c r="J137" s="57"/>
    </row>
    <row r="138" spans="2:10" ht="25" customHeight="1">
      <c r="B138" s="57"/>
      <c r="C138" s="57"/>
      <c r="D138" s="58"/>
      <c r="E138" s="62"/>
      <c r="F138" s="58"/>
      <c r="G138" s="58"/>
      <c r="H138" s="60"/>
      <c r="I138" s="61"/>
      <c r="J138" s="57"/>
    </row>
    <row r="139" spans="2:10" ht="25" customHeight="1">
      <c r="B139" s="57"/>
      <c r="C139" s="57"/>
      <c r="D139" s="58"/>
      <c r="E139" s="62"/>
      <c r="F139" s="58"/>
      <c r="G139" s="58"/>
      <c r="H139" s="60"/>
      <c r="I139" s="61"/>
      <c r="J139" s="57"/>
    </row>
    <row r="140" spans="2:10" ht="25" customHeight="1">
      <c r="B140" s="57"/>
      <c r="C140" s="57"/>
      <c r="D140" s="58"/>
      <c r="E140" s="62"/>
      <c r="F140" s="58"/>
      <c r="G140" s="58"/>
      <c r="H140" s="60"/>
      <c r="I140" s="61"/>
      <c r="J140" s="57"/>
    </row>
    <row r="141" spans="2:10" ht="25" customHeight="1">
      <c r="B141" s="57"/>
      <c r="C141" s="57"/>
      <c r="D141" s="58"/>
      <c r="E141" s="62"/>
      <c r="F141" s="58"/>
      <c r="G141" s="58"/>
      <c r="H141" s="60"/>
      <c r="I141" s="61"/>
      <c r="J141" s="57"/>
    </row>
    <row r="142" spans="2:10" ht="25" customHeight="1">
      <c r="B142" s="57"/>
      <c r="C142" s="57"/>
      <c r="D142" s="58"/>
      <c r="E142" s="62"/>
      <c r="F142" s="58"/>
      <c r="G142" s="58"/>
      <c r="H142" s="60"/>
      <c r="I142" s="61"/>
      <c r="J142" s="57"/>
    </row>
    <row r="143" spans="2:10" ht="25" customHeight="1">
      <c r="B143" s="57"/>
      <c r="C143" s="57"/>
      <c r="D143" s="58"/>
      <c r="E143" s="62"/>
      <c r="F143" s="58"/>
      <c r="G143" s="58"/>
      <c r="H143" s="60"/>
      <c r="I143" s="61"/>
      <c r="J143" s="57"/>
    </row>
    <row r="144" spans="2:10" ht="25" customHeight="1">
      <c r="B144" s="57"/>
      <c r="C144" s="57"/>
      <c r="D144" s="58"/>
      <c r="E144" s="62"/>
      <c r="F144" s="58"/>
      <c r="G144" s="58"/>
      <c r="H144" s="60"/>
      <c r="I144" s="61"/>
      <c r="J144" s="57"/>
    </row>
    <row r="145" spans="2:10" ht="25" customHeight="1">
      <c r="B145" s="57"/>
      <c r="C145" s="57"/>
      <c r="D145" s="58"/>
      <c r="E145" s="62"/>
      <c r="F145" s="58"/>
      <c r="G145" s="58"/>
      <c r="H145" s="60"/>
      <c r="I145" s="61"/>
      <c r="J145" s="57"/>
    </row>
    <row r="146" spans="2:10" ht="25" customHeight="1">
      <c r="B146" s="57"/>
      <c r="C146" s="57"/>
      <c r="D146" s="58"/>
      <c r="E146" s="62"/>
      <c r="F146" s="58"/>
      <c r="G146" s="58"/>
      <c r="H146" s="60"/>
      <c r="I146" s="61"/>
      <c r="J146" s="57"/>
    </row>
    <row r="147" spans="2:10" ht="25" customHeight="1">
      <c r="B147" s="57"/>
      <c r="C147" s="57"/>
      <c r="D147" s="58"/>
      <c r="E147" s="62"/>
      <c r="F147" s="58"/>
      <c r="G147" s="58"/>
      <c r="H147" s="60"/>
      <c r="I147" s="61"/>
      <c r="J147" s="57"/>
    </row>
    <row r="148" spans="2:10" ht="25" customHeight="1">
      <c r="B148" s="57"/>
      <c r="C148" s="57"/>
      <c r="D148" s="58"/>
      <c r="E148" s="62"/>
      <c r="F148" s="58"/>
      <c r="G148" s="58"/>
      <c r="H148" s="60"/>
      <c r="I148" s="61"/>
      <c r="J148" s="57"/>
    </row>
    <row r="149" spans="2:10" ht="25" customHeight="1">
      <c r="B149" s="57"/>
      <c r="C149" s="57"/>
      <c r="D149" s="58"/>
      <c r="E149" s="62"/>
      <c r="F149" s="58"/>
      <c r="G149" s="58"/>
      <c r="H149" s="60"/>
      <c r="I149" s="61"/>
      <c r="J149" s="57"/>
    </row>
    <row r="150" spans="2:10" ht="25" customHeight="1">
      <c r="B150" s="57"/>
      <c r="C150" s="57"/>
      <c r="D150" s="58"/>
      <c r="E150" s="62"/>
      <c r="F150" s="58"/>
      <c r="G150" s="58"/>
      <c r="H150" s="60"/>
      <c r="I150" s="61"/>
      <c r="J150" s="57"/>
    </row>
    <row r="151" spans="2:10" ht="25" customHeight="1">
      <c r="B151" s="57"/>
      <c r="C151" s="57"/>
      <c r="D151" s="58"/>
      <c r="E151" s="62"/>
      <c r="F151" s="58"/>
      <c r="G151" s="58"/>
      <c r="H151" s="60"/>
      <c r="I151" s="61"/>
      <c r="J151" s="57"/>
    </row>
    <row r="152" spans="2:10" ht="25" customHeight="1">
      <c r="B152" s="57"/>
      <c r="C152" s="57"/>
      <c r="D152" s="58"/>
      <c r="E152" s="62"/>
      <c r="F152" s="58"/>
      <c r="G152" s="58"/>
      <c r="H152" s="60"/>
      <c r="I152" s="61"/>
      <c r="J152" s="57"/>
    </row>
    <row r="153" spans="2:10" ht="25" customHeight="1">
      <c r="B153" s="57"/>
      <c r="C153" s="57"/>
      <c r="D153" s="58"/>
      <c r="E153" s="62"/>
      <c r="F153" s="58"/>
      <c r="G153" s="58"/>
      <c r="H153" s="60"/>
      <c r="I153" s="61"/>
      <c r="J153" s="57"/>
    </row>
    <row r="154" spans="2:10" ht="25" customHeight="1">
      <c r="B154" s="57"/>
      <c r="C154" s="57"/>
      <c r="D154" s="58"/>
      <c r="E154" s="62"/>
      <c r="F154" s="58"/>
      <c r="G154" s="58"/>
      <c r="H154" s="60"/>
      <c r="I154" s="61"/>
      <c r="J154" s="57"/>
    </row>
    <row r="155" spans="2:10" ht="25" customHeight="1">
      <c r="B155" s="57"/>
      <c r="C155" s="57"/>
      <c r="D155" s="58"/>
      <c r="E155" s="62"/>
      <c r="F155" s="58"/>
      <c r="G155" s="58"/>
      <c r="H155" s="60"/>
      <c r="I155" s="61"/>
      <c r="J155" s="57"/>
    </row>
    <row r="156" spans="2:10" ht="25" customHeight="1">
      <c r="B156" s="57"/>
      <c r="C156" s="57"/>
      <c r="D156" s="58"/>
      <c r="E156" s="62"/>
      <c r="F156" s="58"/>
      <c r="G156" s="58"/>
      <c r="H156" s="60"/>
      <c r="I156" s="61"/>
      <c r="J156" s="57"/>
    </row>
    <row r="157" spans="2:10" ht="25" customHeight="1">
      <c r="B157" s="57"/>
      <c r="C157" s="57"/>
      <c r="D157" s="58"/>
      <c r="E157" s="62"/>
      <c r="F157" s="58"/>
      <c r="G157" s="58"/>
      <c r="H157" s="60"/>
      <c r="I157" s="61"/>
      <c r="J157" s="57"/>
    </row>
    <row r="158" spans="2:10" ht="25" customHeight="1">
      <c r="B158" s="57"/>
      <c r="C158" s="57"/>
      <c r="D158" s="58"/>
      <c r="E158" s="62"/>
      <c r="F158" s="58"/>
      <c r="G158" s="58"/>
      <c r="H158" s="60"/>
      <c r="I158" s="61"/>
      <c r="J158" s="57"/>
    </row>
    <row r="159" spans="2:10" ht="25" customHeight="1">
      <c r="B159" s="57"/>
      <c r="C159" s="57"/>
      <c r="D159" s="58"/>
      <c r="E159" s="62"/>
      <c r="F159" s="58"/>
      <c r="G159" s="58"/>
      <c r="H159" s="60"/>
      <c r="I159" s="61"/>
      <c r="J159" s="57"/>
    </row>
    <row r="160" spans="2:10" ht="25" customHeight="1">
      <c r="B160" s="57"/>
      <c r="C160" s="57"/>
      <c r="D160" s="58"/>
      <c r="E160" s="62"/>
      <c r="F160" s="58"/>
      <c r="G160" s="58"/>
      <c r="H160" s="60"/>
      <c r="I160" s="61"/>
      <c r="J160" s="57"/>
    </row>
    <row r="161" spans="2:10" ht="25" customHeight="1">
      <c r="B161" s="57"/>
      <c r="C161" s="57"/>
      <c r="D161" s="58"/>
      <c r="E161" s="62"/>
      <c r="F161" s="58"/>
      <c r="G161" s="58"/>
      <c r="H161" s="60"/>
      <c r="I161" s="61"/>
      <c r="J161" s="57"/>
    </row>
    <row r="162" spans="2:10" ht="25" customHeight="1">
      <c r="B162" s="57"/>
      <c r="C162" s="57"/>
      <c r="D162" s="58"/>
      <c r="E162" s="62"/>
      <c r="F162" s="58"/>
      <c r="G162" s="58"/>
      <c r="H162" s="60"/>
      <c r="I162" s="61"/>
      <c r="J162" s="57"/>
    </row>
    <row r="163" spans="2:10" ht="25" customHeight="1">
      <c r="B163" s="57"/>
      <c r="C163" s="57"/>
      <c r="D163" s="58"/>
      <c r="E163" s="62"/>
      <c r="F163" s="58"/>
      <c r="G163" s="58"/>
      <c r="H163" s="60"/>
      <c r="I163" s="61"/>
      <c r="J163" s="57"/>
    </row>
    <row r="164" spans="2:10" ht="25" customHeight="1">
      <c r="B164" s="57"/>
      <c r="C164" s="57"/>
      <c r="D164" s="58"/>
      <c r="E164" s="62"/>
      <c r="F164" s="58"/>
      <c r="G164" s="58"/>
      <c r="H164" s="60"/>
      <c r="I164" s="61"/>
      <c r="J164" s="57"/>
    </row>
    <row r="165" spans="2:10" ht="25" customHeight="1">
      <c r="B165" s="57"/>
      <c r="C165" s="57"/>
      <c r="D165" s="58"/>
      <c r="E165" s="62"/>
      <c r="F165" s="58"/>
      <c r="G165" s="58"/>
      <c r="H165" s="60"/>
      <c r="I165" s="61"/>
      <c r="J165" s="57"/>
    </row>
    <row r="166" spans="2:10" ht="25" customHeight="1">
      <c r="B166" s="57"/>
      <c r="C166" s="57"/>
      <c r="D166" s="58"/>
      <c r="E166" s="62"/>
      <c r="F166" s="58"/>
      <c r="G166" s="58"/>
      <c r="H166" s="60"/>
      <c r="I166" s="61"/>
      <c r="J166" s="57"/>
    </row>
    <row r="167" spans="2:10" ht="25" customHeight="1">
      <c r="B167" s="57"/>
      <c r="C167" s="57"/>
      <c r="D167" s="58"/>
      <c r="E167" s="62"/>
      <c r="F167" s="58"/>
      <c r="G167" s="58"/>
      <c r="H167" s="60"/>
      <c r="I167" s="61"/>
      <c r="J167" s="57"/>
    </row>
    <row r="168" spans="2:10" ht="25" customHeight="1">
      <c r="B168" s="57"/>
      <c r="C168" s="57"/>
      <c r="D168" s="58"/>
      <c r="E168" s="62"/>
      <c r="F168" s="58"/>
      <c r="G168" s="58"/>
      <c r="H168" s="60"/>
      <c r="I168" s="61"/>
      <c r="J168" s="57"/>
    </row>
    <row r="169" spans="2:10" ht="25" customHeight="1">
      <c r="B169" s="57"/>
      <c r="C169" s="57"/>
      <c r="D169" s="58"/>
      <c r="E169" s="62"/>
      <c r="F169" s="58"/>
      <c r="G169" s="58"/>
      <c r="H169" s="60"/>
      <c r="I169" s="61"/>
      <c r="J169" s="57"/>
    </row>
    <row r="170" spans="2:10" ht="25" customHeight="1">
      <c r="B170" s="57"/>
      <c r="C170" s="57"/>
      <c r="D170" s="58"/>
      <c r="E170" s="62"/>
      <c r="F170" s="58"/>
      <c r="G170" s="58"/>
      <c r="H170" s="60"/>
      <c r="I170" s="61"/>
      <c r="J170" s="57"/>
    </row>
    <row r="171" spans="2:10" ht="25" customHeight="1">
      <c r="B171" s="57"/>
      <c r="C171" s="57"/>
      <c r="D171" s="58"/>
      <c r="E171" s="62"/>
      <c r="F171" s="58"/>
      <c r="G171" s="58"/>
      <c r="H171" s="60"/>
      <c r="I171" s="61"/>
      <c r="J171" s="57"/>
    </row>
    <row r="172" spans="2:10" ht="25" customHeight="1">
      <c r="B172" s="57"/>
      <c r="C172" s="57"/>
      <c r="D172" s="58"/>
      <c r="E172" s="62"/>
      <c r="F172" s="58"/>
      <c r="G172" s="58"/>
      <c r="H172" s="60"/>
      <c r="I172" s="61"/>
      <c r="J172" s="57"/>
    </row>
    <row r="173" spans="2:10" ht="25" customHeight="1">
      <c r="B173" s="57"/>
      <c r="C173" s="57"/>
      <c r="D173" s="58"/>
      <c r="E173" s="62"/>
      <c r="F173" s="58"/>
      <c r="G173" s="58"/>
      <c r="H173" s="60"/>
      <c r="I173" s="61"/>
      <c r="J173" s="57"/>
    </row>
    <row r="174" spans="2:10" ht="25" customHeight="1">
      <c r="B174" s="57"/>
      <c r="C174" s="57"/>
      <c r="D174" s="58"/>
      <c r="E174" s="62"/>
      <c r="F174" s="58"/>
      <c r="G174" s="58"/>
      <c r="H174" s="60"/>
      <c r="I174" s="61"/>
      <c r="J174" s="57"/>
    </row>
    <row r="175" spans="2:10" ht="25" customHeight="1">
      <c r="B175" s="57"/>
      <c r="C175" s="57"/>
      <c r="D175" s="58"/>
      <c r="E175" s="62"/>
      <c r="F175" s="58"/>
      <c r="G175" s="58"/>
      <c r="H175" s="60"/>
      <c r="I175" s="61"/>
      <c r="J175" s="57"/>
    </row>
    <row r="176" spans="2:10" ht="25" customHeight="1">
      <c r="B176" s="57"/>
      <c r="C176" s="57"/>
      <c r="D176" s="58"/>
      <c r="E176" s="62"/>
      <c r="F176" s="58"/>
      <c r="G176" s="58"/>
      <c r="H176" s="60"/>
      <c r="I176" s="61"/>
      <c r="J176" s="57"/>
    </row>
    <row r="177" spans="2:10" ht="25" customHeight="1">
      <c r="B177" s="57"/>
      <c r="C177" s="57"/>
      <c r="D177" s="58"/>
      <c r="E177" s="62"/>
      <c r="F177" s="58"/>
      <c r="G177" s="58"/>
      <c r="H177" s="60"/>
      <c r="I177" s="61"/>
      <c r="J177" s="57"/>
    </row>
    <row r="178" spans="2:10" ht="25" customHeight="1">
      <c r="B178" s="57"/>
      <c r="C178" s="57"/>
      <c r="D178" s="58"/>
      <c r="E178" s="62"/>
      <c r="F178" s="58"/>
      <c r="G178" s="58"/>
      <c r="H178" s="60"/>
      <c r="I178" s="61"/>
      <c r="J178" s="57"/>
    </row>
    <row r="179" spans="2:10" ht="25" customHeight="1">
      <c r="B179" s="57"/>
      <c r="C179" s="57"/>
      <c r="D179" s="58"/>
      <c r="E179" s="62"/>
      <c r="F179" s="58"/>
      <c r="G179" s="58"/>
      <c r="H179" s="60"/>
      <c r="I179" s="61"/>
      <c r="J179" s="57"/>
    </row>
    <row r="180" spans="2:10" ht="25" customHeight="1">
      <c r="B180" s="57"/>
      <c r="C180" s="57"/>
      <c r="D180" s="58"/>
      <c r="E180" s="62"/>
      <c r="F180" s="58"/>
      <c r="G180" s="58"/>
      <c r="H180" s="60"/>
      <c r="I180" s="61"/>
      <c r="J180" s="57"/>
    </row>
    <row r="181" spans="2:10" ht="25" customHeight="1">
      <c r="B181" s="57"/>
      <c r="C181" s="57"/>
      <c r="D181" s="58"/>
      <c r="E181" s="62"/>
      <c r="F181" s="58"/>
      <c r="G181" s="58"/>
      <c r="H181" s="60"/>
      <c r="I181" s="61"/>
      <c r="J181" s="57"/>
    </row>
    <row r="182" spans="2:10" ht="25" customHeight="1">
      <c r="B182" s="57"/>
      <c r="C182" s="57"/>
      <c r="D182" s="58"/>
      <c r="E182" s="62"/>
      <c r="F182" s="58"/>
      <c r="G182" s="58"/>
      <c r="H182" s="60"/>
      <c r="I182" s="61"/>
      <c r="J182" s="57"/>
    </row>
    <row r="183" spans="2:10" ht="25" customHeight="1">
      <c r="B183" s="57"/>
      <c r="C183" s="57"/>
      <c r="D183" s="58"/>
      <c r="E183" s="62"/>
      <c r="F183" s="58"/>
      <c r="G183" s="58"/>
      <c r="H183" s="60"/>
      <c r="I183" s="61"/>
      <c r="J183" s="57"/>
    </row>
    <row r="184" spans="2:10" ht="25" customHeight="1">
      <c r="B184" s="57"/>
      <c r="C184" s="57"/>
      <c r="D184" s="58"/>
      <c r="E184" s="62"/>
      <c r="F184" s="58"/>
      <c r="G184" s="58"/>
      <c r="H184" s="60"/>
      <c r="I184" s="61"/>
      <c r="J184" s="57"/>
    </row>
    <row r="185" spans="2:10" ht="25" customHeight="1">
      <c r="B185" s="57"/>
      <c r="C185" s="57"/>
      <c r="D185" s="58"/>
      <c r="E185" s="62"/>
      <c r="F185" s="58"/>
      <c r="G185" s="58"/>
      <c r="H185" s="60"/>
      <c r="I185" s="61"/>
      <c r="J185" s="57"/>
    </row>
    <row r="186" spans="2:10" ht="25" customHeight="1">
      <c r="B186" s="57"/>
      <c r="C186" s="57"/>
      <c r="D186" s="58"/>
      <c r="E186" s="62"/>
      <c r="F186" s="58"/>
      <c r="G186" s="58"/>
      <c r="H186" s="60"/>
      <c r="I186" s="61"/>
      <c r="J186" s="57"/>
    </row>
    <row r="187" spans="2:10" ht="25" customHeight="1">
      <c r="B187" s="57"/>
      <c r="C187" s="57"/>
      <c r="D187" s="58"/>
      <c r="E187" s="62"/>
      <c r="F187" s="58"/>
      <c r="G187" s="58"/>
      <c r="H187" s="60"/>
      <c r="I187" s="61"/>
      <c r="J187" s="57"/>
    </row>
    <row r="188" spans="2:10" ht="25" customHeight="1">
      <c r="B188" s="57"/>
      <c r="C188" s="57"/>
      <c r="D188" s="58"/>
      <c r="E188" s="62"/>
      <c r="F188" s="58"/>
      <c r="G188" s="58"/>
      <c r="H188" s="60"/>
      <c r="I188" s="61"/>
      <c r="J188" s="57"/>
    </row>
    <row r="189" spans="2:10" ht="25" customHeight="1">
      <c r="B189" s="57"/>
      <c r="C189" s="57"/>
      <c r="D189" s="58"/>
      <c r="E189" s="62"/>
      <c r="F189" s="58"/>
      <c r="G189" s="58"/>
      <c r="H189" s="60"/>
      <c r="I189" s="61"/>
      <c r="J189" s="57"/>
    </row>
    <row r="190" spans="2:10" ht="25" customHeight="1">
      <c r="B190" s="57"/>
      <c r="C190" s="57"/>
      <c r="D190" s="58"/>
      <c r="E190" s="62"/>
      <c r="F190" s="58"/>
      <c r="G190" s="58"/>
      <c r="H190" s="60"/>
      <c r="I190" s="61"/>
      <c r="J190" s="57"/>
    </row>
    <row r="191" spans="2:10" ht="25" customHeight="1">
      <c r="B191" s="57"/>
      <c r="C191" s="57"/>
      <c r="D191" s="58"/>
      <c r="E191" s="62"/>
      <c r="F191" s="58"/>
      <c r="G191" s="58"/>
      <c r="H191" s="60"/>
      <c r="I191" s="61"/>
      <c r="J191" s="57"/>
    </row>
    <row r="192" spans="2:10" ht="25" customHeight="1">
      <c r="B192" s="57"/>
      <c r="C192" s="57"/>
      <c r="D192" s="58"/>
      <c r="E192" s="62"/>
      <c r="F192" s="58"/>
      <c r="G192" s="58"/>
      <c r="H192" s="60"/>
      <c r="I192" s="61"/>
      <c r="J192" s="57"/>
    </row>
    <row r="193" spans="2:10" ht="25" customHeight="1">
      <c r="B193" s="57"/>
      <c r="C193" s="57"/>
      <c r="D193" s="58"/>
      <c r="E193" s="62"/>
      <c r="F193" s="58"/>
      <c r="G193" s="58"/>
      <c r="H193" s="60"/>
      <c r="I193" s="61"/>
      <c r="J193" s="57"/>
    </row>
    <row r="194" spans="2:10" ht="25" customHeight="1">
      <c r="B194" s="57"/>
      <c r="C194" s="57"/>
      <c r="D194" s="58"/>
      <c r="E194" s="62"/>
      <c r="F194" s="58"/>
      <c r="G194" s="58"/>
      <c r="H194" s="60"/>
      <c r="I194" s="61"/>
      <c r="J194" s="57"/>
    </row>
    <row r="195" spans="2:10" ht="25" customHeight="1">
      <c r="B195" s="57"/>
      <c r="C195" s="57"/>
      <c r="D195" s="58"/>
      <c r="E195" s="62"/>
      <c r="F195" s="58"/>
      <c r="G195" s="58"/>
      <c r="H195" s="60"/>
      <c r="I195" s="61"/>
      <c r="J195" s="57"/>
    </row>
    <row r="196" spans="2:10" ht="25" customHeight="1">
      <c r="B196" s="57"/>
      <c r="C196" s="57"/>
      <c r="D196" s="58"/>
      <c r="E196" s="62"/>
      <c r="F196" s="58"/>
      <c r="G196" s="58"/>
      <c r="H196" s="60"/>
      <c r="I196" s="61"/>
      <c r="J196" s="57"/>
    </row>
    <row r="197" spans="2:10" ht="25" customHeight="1">
      <c r="B197" s="57"/>
      <c r="C197" s="57"/>
      <c r="D197" s="58"/>
      <c r="E197" s="62"/>
      <c r="F197" s="58"/>
      <c r="G197" s="58"/>
      <c r="H197" s="60"/>
      <c r="I197" s="61"/>
      <c r="J197" s="57"/>
    </row>
    <row r="198" spans="2:10" ht="25" customHeight="1">
      <c r="B198" s="57"/>
      <c r="C198" s="57"/>
      <c r="D198" s="58"/>
      <c r="E198" s="62"/>
      <c r="F198" s="58"/>
      <c r="G198" s="58"/>
      <c r="H198" s="60"/>
      <c r="I198" s="61"/>
      <c r="J198" s="57"/>
    </row>
    <row r="199" spans="2:10" ht="25" customHeight="1">
      <c r="B199" s="57"/>
      <c r="C199" s="57"/>
      <c r="D199" s="58"/>
      <c r="E199" s="62"/>
      <c r="F199" s="58"/>
      <c r="G199" s="58"/>
      <c r="H199" s="60"/>
      <c r="I199" s="61"/>
      <c r="J199" s="57"/>
    </row>
    <row r="200" spans="2:10" ht="25" customHeight="1">
      <c r="B200" s="57"/>
      <c r="C200" s="57"/>
      <c r="D200" s="58"/>
      <c r="E200" s="62"/>
      <c r="F200" s="58"/>
      <c r="G200" s="58"/>
      <c r="H200" s="60"/>
      <c r="I200" s="61"/>
      <c r="J200" s="57"/>
    </row>
    <row r="201" spans="2:10" ht="25" customHeight="1">
      <c r="B201" s="57"/>
      <c r="C201" s="57"/>
      <c r="D201" s="58"/>
      <c r="E201" s="62"/>
      <c r="F201" s="58"/>
      <c r="G201" s="58"/>
      <c r="H201" s="60"/>
      <c r="I201" s="61"/>
      <c r="J201" s="57"/>
    </row>
    <row r="202" spans="2:10" ht="25" customHeight="1">
      <c r="B202" s="57"/>
      <c r="C202" s="57"/>
      <c r="D202" s="58"/>
      <c r="E202" s="62"/>
      <c r="F202" s="58"/>
      <c r="G202" s="58"/>
      <c r="H202" s="60"/>
      <c r="I202" s="61"/>
      <c r="J202" s="57"/>
    </row>
    <row r="203" spans="2:10" ht="25" customHeight="1">
      <c r="B203" s="57"/>
      <c r="C203" s="57"/>
      <c r="D203" s="58"/>
      <c r="E203" s="62"/>
      <c r="F203" s="58"/>
      <c r="G203" s="58"/>
      <c r="H203" s="60"/>
      <c r="I203" s="61"/>
      <c r="J203" s="57"/>
    </row>
    <row r="204" spans="2:10" ht="25" customHeight="1">
      <c r="B204" s="57"/>
      <c r="C204" s="57"/>
      <c r="D204" s="58"/>
      <c r="E204" s="62"/>
      <c r="F204" s="58"/>
      <c r="G204" s="58"/>
      <c r="H204" s="60"/>
      <c r="I204" s="61"/>
      <c r="J204" s="57"/>
    </row>
    <row r="205" spans="2:10" ht="25" customHeight="1">
      <c r="B205" s="57"/>
      <c r="C205" s="57"/>
      <c r="D205" s="58"/>
      <c r="E205" s="62"/>
      <c r="F205" s="58"/>
      <c r="G205" s="58"/>
      <c r="H205" s="60"/>
      <c r="I205" s="61"/>
      <c r="J205" s="57"/>
    </row>
    <row r="206" spans="2:10" ht="25" customHeight="1">
      <c r="B206" s="57"/>
      <c r="C206" s="57"/>
      <c r="D206" s="58"/>
      <c r="E206" s="62"/>
      <c r="F206" s="58"/>
      <c r="G206" s="58"/>
      <c r="H206" s="60"/>
      <c r="I206" s="61"/>
      <c r="J206" s="57"/>
    </row>
    <row r="207" spans="2:10" ht="25" customHeight="1">
      <c r="B207" s="57"/>
      <c r="C207" s="57"/>
      <c r="D207" s="58"/>
      <c r="E207" s="62"/>
      <c r="F207" s="58"/>
      <c r="G207" s="58"/>
      <c r="H207" s="60"/>
      <c r="I207" s="61"/>
      <c r="J207" s="57"/>
    </row>
    <row r="208" spans="2:10" ht="25" customHeight="1">
      <c r="B208" s="57"/>
      <c r="C208" s="57"/>
      <c r="D208" s="58"/>
      <c r="E208" s="62"/>
      <c r="F208" s="58"/>
      <c r="G208" s="58"/>
      <c r="H208" s="60"/>
      <c r="I208" s="61"/>
      <c r="J208" s="57"/>
    </row>
    <row r="209" spans="2:10" ht="25" customHeight="1">
      <c r="B209" s="57"/>
      <c r="C209" s="57"/>
      <c r="D209" s="58"/>
      <c r="E209" s="62"/>
      <c r="F209" s="58"/>
      <c r="G209" s="58"/>
      <c r="H209" s="60"/>
      <c r="I209" s="61"/>
      <c r="J209" s="57"/>
    </row>
    <row r="210" spans="2:10" ht="25" customHeight="1">
      <c r="B210" s="57"/>
      <c r="C210" s="57"/>
      <c r="D210" s="58"/>
      <c r="E210" s="62"/>
      <c r="F210" s="58"/>
      <c r="G210" s="58"/>
      <c r="H210" s="60"/>
      <c r="I210" s="61"/>
      <c r="J210" s="57"/>
    </row>
    <row r="211" spans="2:10" ht="25" customHeight="1">
      <c r="B211" s="57"/>
      <c r="C211" s="57"/>
      <c r="D211" s="58"/>
      <c r="E211" s="62"/>
      <c r="F211" s="58"/>
      <c r="G211" s="58"/>
      <c r="H211" s="60"/>
      <c r="I211" s="61"/>
      <c r="J211" s="57"/>
    </row>
    <row r="212" spans="2:10" ht="25" customHeight="1">
      <c r="B212" s="57"/>
      <c r="C212" s="57"/>
      <c r="D212" s="58"/>
      <c r="E212" s="62"/>
      <c r="F212" s="58"/>
      <c r="G212" s="58"/>
      <c r="H212" s="60"/>
      <c r="I212" s="61"/>
      <c r="J212" s="57"/>
    </row>
    <row r="213" spans="2:10" ht="25" customHeight="1">
      <c r="B213" s="57"/>
      <c r="C213" s="57"/>
      <c r="D213" s="58"/>
      <c r="E213" s="62"/>
      <c r="F213" s="58"/>
      <c r="G213" s="58"/>
      <c r="H213" s="60"/>
      <c r="I213" s="61"/>
      <c r="J213" s="57"/>
    </row>
  </sheetData>
  <mergeCells count="8">
    <mergeCell ref="B10:J10"/>
    <mergeCell ref="B11:J11"/>
    <mergeCell ref="B12:J12"/>
    <mergeCell ref="B2:J2"/>
    <mergeCell ref="B3:J3"/>
    <mergeCell ref="B4:J4"/>
    <mergeCell ref="B8:J8"/>
    <mergeCell ref="B9:J9"/>
  </mergeCells>
  <phoneticPr fontId="1" type="noConversion"/>
  <dataValidations count="3">
    <dataValidation type="list" allowBlank="1" showInputMessage="1" showErrorMessage="1" errorTitle="Show option" error="Choose Yes or No." sqref="B14:B213" xr:uid="{19B25D50-6634-4DC2-A054-650F847ED7E7}">
      <formula1>"Yes,No"</formula1>
    </dataValidation>
    <dataValidation type="list" showInputMessage="1" showErrorMessage="1" errorTitle="Node position" error="Choose Equal spacing or Date proportional." sqref="C6" xr:uid="{C7A53118-3CA6-4C5D-8DD2-D6F567ECE8F6}">
      <formula1>"Equal spacing,Date proportional"</formula1>
    </dataValidation>
    <dataValidation type="decimal" showInputMessage="1" showErrorMessage="1" errorTitle="Node spacing" error="Enter a value from 50% to 200%." sqref="C7" xr:uid="{13932BC3-472D-43D5-A84C-51B2DEBD0888}">
      <formula1>0.5</formula1>
      <formula2>2</formula2>
    </dataValidation>
  </dataValidations>
  <pageMargins left="0.25" right="0.25" top="0.4" bottom="0.4" header="0.2" footer="0.2"/>
  <drawing r:id="rId1"/>
</worksheet>
</file>

<file path=customUI/customUI.xml><?xml version="1.0" encoding="utf-8"?>
<customUI xmlns="http://schemas.microsoft.com/office/2006/01/customui">
  <commands>
    <command idMso="Undo" enabled="false"/>
    <command idMso="Redo" enabled="false"/>
    <command idMso="Repeat" enabled="false"/>
  </commands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WBS</vt:lpstr>
      <vt:lpstr>Milestones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Venice Bush</cp:lastModifiedBy>
  <dcterms:created xsi:type="dcterms:W3CDTF">2018-01-15T12:29:28Z</dcterms:created>
  <dcterms:modified xsi:type="dcterms:W3CDTF">2026-09-17T15:00:26Z</dcterms:modified>
</cp:coreProperties>
</file>